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0"/>
  <workbookPr/>
  <mc:AlternateContent xmlns:mc="http://schemas.openxmlformats.org/markup-compatibility/2006">
    <mc:Choice Requires="x15">
      <x15ac:absPath xmlns:x15ac="http://schemas.microsoft.com/office/spreadsheetml/2010/11/ac" url="/Users/wachiralimsripraphan/Downloads/"/>
    </mc:Choice>
  </mc:AlternateContent>
  <xr:revisionPtr revIDLastSave="0" documentId="13_ncr:1_{6AAA52BF-05DF-5246-A300-B2EAF1BB5F39}" xr6:coauthVersionLast="47" xr6:coauthVersionMax="47" xr10:uidLastSave="{00000000-0000-0000-0000-000000000000}"/>
  <bookViews>
    <workbookView xWindow="4000" yWindow="820" windowWidth="28060" windowHeight="16600" xr2:uid="{00000000-000D-0000-FFFF-FFFF00000000}"/>
  </bookViews>
  <sheets>
    <sheet name="เปรียบเทียบ67_68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" roundtripDataChecksum="pWd3/GXNx2vyW/P6KMS+BXZ71WUlj8VkAgk4rMVgpLE="/>
    </ext>
  </extLst>
</workbook>
</file>

<file path=xl/calcChain.xml><?xml version="1.0" encoding="utf-8"?>
<calcChain xmlns="http://schemas.openxmlformats.org/spreadsheetml/2006/main">
  <c r="M44" i="6" l="1"/>
  <c r="C32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Q32" i="6"/>
  <c r="R32" i="6"/>
  <c r="S32" i="6"/>
  <c r="B32" i="6"/>
  <c r="C37" i="6"/>
  <c r="AC56" i="6"/>
  <c r="AB56" i="6"/>
  <c r="AA56" i="6"/>
  <c r="Z56" i="6"/>
  <c r="Y56" i="6"/>
  <c r="X56" i="6"/>
  <c r="W56" i="6"/>
  <c r="V56" i="6"/>
  <c r="U56" i="6"/>
  <c r="T56" i="6"/>
  <c r="S56" i="6"/>
  <c r="R56" i="6"/>
  <c r="Q56" i="6"/>
  <c r="P56" i="6"/>
  <c r="O56" i="6"/>
  <c r="N56" i="6"/>
  <c r="M56" i="6"/>
  <c r="L56" i="6"/>
  <c r="K56" i="6"/>
  <c r="J56" i="6"/>
  <c r="I56" i="6"/>
  <c r="H56" i="6"/>
  <c r="G56" i="6"/>
  <c r="F56" i="6"/>
  <c r="E56" i="6"/>
  <c r="D56" i="6"/>
  <c r="C56" i="6"/>
  <c r="B56" i="6"/>
  <c r="C55" i="6"/>
  <c r="B55" i="6"/>
  <c r="S44" i="6"/>
  <c r="R44" i="6"/>
  <c r="Q44" i="6"/>
  <c r="P44" i="6"/>
  <c r="O44" i="6"/>
  <c r="N44" i="6"/>
  <c r="L44" i="6"/>
  <c r="K44" i="6"/>
  <c r="J44" i="6"/>
  <c r="I44" i="6"/>
  <c r="H44" i="6"/>
  <c r="G44" i="6"/>
  <c r="F44" i="6"/>
  <c r="E44" i="6"/>
  <c r="D44" i="6"/>
  <c r="C44" i="6"/>
  <c r="B44" i="6"/>
  <c r="AC40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B40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B37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B8" i="6"/>
</calcChain>
</file>

<file path=xl/sharedStrings.xml><?xml version="1.0" encoding="utf-8"?>
<sst xmlns="http://schemas.openxmlformats.org/spreadsheetml/2006/main" count="126" uniqueCount="72">
  <si>
    <t>ตัวบ่งชี้</t>
  </si>
  <si>
    <t>คะแนนการประเมิน(เต็ม 5) ของแต่ละหน่วยงาน</t>
  </si>
  <si>
    <t>คคศ.</t>
  </si>
  <si>
    <t>คมส.</t>
  </si>
  <si>
    <t>ควท.</t>
  </si>
  <si>
    <t>ควจ.</t>
  </si>
  <si>
    <t>คทก.</t>
  </si>
  <si>
    <t>คทอ.</t>
  </si>
  <si>
    <t>คสท.</t>
  </si>
  <si>
    <t>คพบ.</t>
  </si>
  <si>
    <t>สศว.</t>
  </si>
  <si>
    <t>สวบ.</t>
  </si>
  <si>
    <t>สทด.</t>
  </si>
  <si>
    <t>2. ประสิทธิภาพและประสิทธิผลการบริหารงบประมาณ</t>
  </si>
  <si>
    <t>3. คุณภาพของอาจารย์และนักศึกษา</t>
  </si>
  <si>
    <t>3.1  อาจารย์</t>
  </si>
  <si>
    <t>3.2 นักศึกษา</t>
  </si>
  <si>
    <t xml:space="preserve">   3.2.1อัตราการสำเร็จการศึกษา</t>
  </si>
  <si>
    <t>4. คุณภาพงานวิจัยและนวัตกรรม</t>
  </si>
  <si>
    <t>4.1 เงินสนับสนุนงานวิจัย</t>
  </si>
  <si>
    <t>5. คุณภาพการพัฒนาท้องถิ่นและศิลปวัฒนธรรม</t>
  </si>
  <si>
    <t>6. ความพึงพอใจของบุคลากรที่มีต่อการบริหารงานของผู้บริหารมหาวิทยาลัย</t>
  </si>
  <si>
    <t>6.1 ความพึงพอใจของบุคลากรที่มีต่อการบริหารงานของผู้บริหารมหาวิทยาลัย</t>
  </si>
  <si>
    <t>7. ความพึงพอใจของนักศึกษาที่มีต่อการจัดการศึกษาของมหาวิทยาลัย</t>
  </si>
  <si>
    <t>7.1 ความพึงพอใจของนักศึกษาระดับปริญญาตรี ที่มีต่อการจัดการศึกษาของมหาวิทยาลัย</t>
  </si>
  <si>
    <t>7.2 ความพึงพอใจของนักศึกษาระดับบัณฑิตศึกษาที่มีต่อการจัดการศึกษาของมหาวิทยาลัย</t>
  </si>
  <si>
    <t>สนอ..</t>
  </si>
  <si>
    <t>คะแนนเฉลี่ย 1</t>
  </si>
  <si>
    <t>คะแนนเฉลี่ย 2</t>
  </si>
  <si>
    <t>คะแนนเฉลี่ย 3</t>
  </si>
  <si>
    <t xml:space="preserve">4.2 ผลงานวิชาการของอาจารย์ที่ได้รับการเผยแพร่ </t>
  </si>
  <si>
    <t>คะแนนเฉลี่ย 4</t>
  </si>
  <si>
    <t>คะแนนเฉลี่ย 5</t>
  </si>
  <si>
    <t>คะแนนเฉลี่ย 6</t>
  </si>
  <si>
    <t>คะแนนเฉลี่ย 7</t>
  </si>
  <si>
    <t>8. ผลการพัฒนามหาวิทยาลัยตามเกณฑ์มหาวิทยาลัยกลุ่ม 2 กลุ่มพัฒนาเทคโนโลยีและส่งเสริมการสร้างนวัตกรรม</t>
  </si>
  <si>
    <t>8.1 นักศึกษาและบัณฑิตผู้ประกอบการ (Student and Graduate Entrepreneur)</t>
  </si>
  <si>
    <t>8.2 รางวัลด้านผู้ประกอบการ (Startup Awards)</t>
  </si>
  <si>
    <t>8.3 งบประมาณจากแหล่งทุนภายนอกสนับสนุนการสร้างผู้ประกอบการ/ธุรกิจใหม่(Startup Co-Investment Funding)</t>
  </si>
  <si>
    <t>8.4 บุคลากรสถาบันอุดมศึกษาแลกเปลี่ยนความรู้สู่ภาคธุรกิจ/อุตสาหกรรม (Talent/Academic Mobility Consultation)</t>
  </si>
  <si>
    <t>8.5 ระบบนิเวศน์ด้านเทคโนโลยีและนวัตกรรมเพื่อเร่งพัฒนาผู้ประกอบการในสถาบันอุดมศึกษา(Technological/ Innovation-Driven EntrepreneurialEcosystem)</t>
  </si>
  <si>
    <t>8.6  หลักสูตร/โปรแกรมเฉพาะที่ใช้เทคโนโลยี/นวัตกรรมเพื่อพัฒนาความเป็นผู้ประกอบการ (Technological/ Innovation-Driven Entrepreneurial Education)</t>
  </si>
  <si>
    <t>8.7 งบประมาณการพัฒนาเทคโนโลยี/นวัตกรรมเพื่อพัฒนาความเป็นผู้ประกอบการของสถาบันอุดมศึกษา (Technological/Innovative Development Funding)</t>
  </si>
  <si>
    <t>8.8 ความร่วมมือเพื่อพัฒนาผู้ประกอบการและส่งเสริมการสร้างนวัตกรรมกับภาคธุรกิจ/อุตสาหกรรมของสถาบันอุดมศึกษา (University - Industry Linkage)</t>
  </si>
  <si>
    <t>คะแนนเฉลี่ย 8</t>
  </si>
  <si>
    <t>คะแนนเฉลี่ยทุกประเด็นการประเมิน</t>
  </si>
  <si>
    <t xml:space="preserve">   3.2.2 อัตราการคงอยู่ </t>
  </si>
  <si>
    <t>5.3 จำนวนองค์ความรู้เชิงลึกที่เผยแพร่หรือประยุกต์ใช้ในการอนุรักษ์สืบสานเผยแพร่ศิลปะและวัฒนธรรมในจังหวัดพิษณุโลกและสุโขทัย</t>
  </si>
  <si>
    <t xml:space="preserve"> -</t>
  </si>
  <si>
    <t xml:space="preserve">   3.1.2  คุณภาพการจัดการเรียนการสอน </t>
  </si>
  <si>
    <t xml:space="preserve">   3.1.3 การพัฒนาตนเองของอาจารย์</t>
  </si>
  <si>
    <t xml:space="preserve"> 4.4 การนำผลงานวิจัยนวัตกรรมนำไปใช้ประโยชน์เชิงพาณิชย์</t>
  </si>
  <si>
    <t>5.2 จำนวนผลการบริการวิชาการที่เป็นต้นแบบและมีชื่อเสียงด้านการพัฒนาท้องถิ่น</t>
  </si>
  <si>
    <t>5.1 จำนวนชุมชน เป้าหมายที่ได้รับการพัฒนาอย่างต่อเนื่อง</t>
  </si>
  <si>
    <t xml:space="preserve"> 8.9 จำนวนนวัตกรรมสร้างสรรค์ของมหาวิทยาลัย</t>
  </si>
  <si>
    <t xml:space="preserve">   3.2.3 คุณลักษณะของบัณฑิตตามกรอบมาตรฐานคุณวุฒิระดับอุดมศึกษาแห่งชาติ</t>
  </si>
  <si>
    <t xml:space="preserve">   3.2.4 คุณลักษณะของบัณฑิตตามอัตลักษณ์ของมหาวิทยาลัย</t>
  </si>
  <si>
    <t xml:space="preserve">   3.2.5  ร้อยละของบัณฑิตปริญญาตรีที่ได้งานทำหรือประกอบอาชีพอิสระภายใน 1 ปี</t>
  </si>
  <si>
    <t>สวพ</t>
  </si>
  <si>
    <t>ปี 2567</t>
  </si>
  <si>
    <t>ปี 2568</t>
  </si>
  <si>
    <t>ตารางเปรียบเทียบ สรุปผลการดำเนินงานตามตัวบ่งชี้ การติดตามตรวจสอบและประเมินผลงาน มหาวิทยาลัยราชภัฏพิบูลสงคราม ประจำปีงบประมาณ พ.ศ.2567-2568</t>
  </si>
  <si>
    <t>มรพส.</t>
  </si>
  <si>
    <t>1. ประสิทธิภาพและประสิทธิผลการดำเนินงานด้านแผนยุทธศาสตร์การพัฒนามหาวิทยาลัยราชภัฏพิบูลสงคราม</t>
  </si>
  <si>
    <t>4.3 จํานวนอาจารย์ที่ได้รับการอ้างอิงบทความต่ออาจารย์ประจําทั้งหมด (Citation)</t>
  </si>
  <si>
    <t>1.1 การบรรลุความสำเร็จประสิทธิภาพและประสิทธิผลการดำเนินงานตามแผนปฏิบัติการของมหาวิทยาลัย ประจำปีงบประมาณ พ.ศ. 2568</t>
  </si>
  <si>
    <t>1.2 ความสำเร็จของแผนปฏิบัติราชการประจำปีงบประมาณ  2568 ที่สอดคล้องกับแผนยุทธศาสตร์การพัฒนามหาวิทยาลัยราชภัฏพิบูลสงคราม (พ.ศ. 2565-2569)</t>
  </si>
  <si>
    <t>2.1 ร้อยละประสิทธิภาพการใช้จ่ายงบประมาณ ประจำปีงบประมาณ พ.ศ. 2568</t>
  </si>
  <si>
    <t>2.2 ร้อยละประสิทธิผลการใช้จ่ายงบประมาณ ประจำปีงบประมาณ พ.ศ. 2568</t>
  </si>
  <si>
    <t>2.3 ร้อยละประสิทธิภาพการใช้จ่ายงบประมาณยุทธศาสตร์มหาวิทยาลัยราชภัฏเพื่อการพัฒนาท้องถิ่น  ประจำปีงบประมาณ พ.ศ. 2568</t>
  </si>
  <si>
    <t>2.4 ร้อยละประสิทธิผลการใช้จ่ายงบประมาณยุทธศาสตร์มหาวิทยาลัยราชภัฏเพื่อการพัฒนาท้องถิ่น  ประจำปีงบประมาณ พ.ศ. 2568</t>
  </si>
  <si>
    <r>
      <t xml:space="preserve">   3.1.1</t>
    </r>
    <r>
      <rPr>
        <b/>
        <sz val="16"/>
        <color theme="1"/>
        <rFont val="TH Sarabun New"/>
        <family val="2"/>
      </rPr>
      <t xml:space="preserve"> </t>
    </r>
    <r>
      <rPr>
        <sz val="16"/>
        <color theme="1"/>
        <rFont val="TH Sarabun New"/>
        <family val="2"/>
      </rPr>
      <t>อาจารย์ประจำที่มีตำแหน่งทางวิชาการ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</si>
</sst>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Tahoma"/>
      <scheme val="minor"/>
    </font>
    <font>
      <b/>
      <sz val="16"/>
      <color theme="1"/>
      <name val="TH Sarabun New"/>
      <family val="2"/>
    </font>
    <font>
      <sz val="16"/>
      <color theme="1"/>
      <name val="TH Sarabun New"/>
      <family val="2"/>
    </font>
    <font>
      <sz val="16"/>
      <name val="TH Sarabun New"/>
      <family val="2"/>
    </font>
    <font>
      <b/>
      <sz val="16"/>
      <color rgb="FF0070C0"/>
      <name val="TH Sarabun New"/>
      <family val="2"/>
    </font>
    <font>
      <sz val="16"/>
      <color rgb="FF0070C0"/>
      <name val="TH Sarabun New"/>
      <family val="2"/>
    </font>
    <font>
      <b/>
      <sz val="16"/>
      <name val="TH Sarabun New"/>
      <family val="2"/>
    </font>
    <font>
      <b/>
      <sz val="16"/>
      <name val="TH Sarabun New"/>
      <family val="2"/>
      <charset val="222"/>
    </font>
    <font>
      <sz val="16"/>
      <name val="TH Sarabun New"/>
      <family val="2"/>
      <charset val="222"/>
    </font>
    <font>
      <sz val="15"/>
      <name val="TH Niramit AS"/>
      <family val="3"/>
    </font>
    <font>
      <b/>
      <sz val="16"/>
      <color rgb="FF0070C0"/>
      <name val="TH Sarabun New"/>
      <family val="2"/>
      <charset val="222"/>
    </font>
    <font>
      <sz val="16"/>
      <color rgb="FF0070C0"/>
      <name val="TH Sarabun New"/>
      <family val="2"/>
      <charset val="222"/>
    </font>
    <font>
      <sz val="15"/>
      <color rgb="FF0070C0"/>
      <name val="TH Niramit AS"/>
      <family val="3"/>
    </font>
    <font>
      <b/>
      <sz val="16"/>
      <color rgb="FFFF0000"/>
      <name val="TH Sarabun New"/>
      <family val="2"/>
    </font>
    <font>
      <sz val="16"/>
      <color rgb="FFFF0000"/>
      <name val="TH Sarabun New"/>
      <family val="2"/>
    </font>
    <font>
      <b/>
      <sz val="16"/>
      <color rgb="FF002060"/>
      <name val="TH Sarabun New"/>
      <family val="2"/>
    </font>
    <font>
      <sz val="16"/>
      <color rgb="FF002060"/>
      <name val="TH Sarabun New"/>
      <family val="2"/>
    </font>
    <font>
      <b/>
      <sz val="18"/>
      <color theme="1"/>
      <name val="TH Sarabun New"/>
      <family val="2"/>
    </font>
    <font>
      <b/>
      <sz val="16"/>
      <color rgb="FFFF0000"/>
      <name val="TH Sarabun New"/>
      <family val="2"/>
      <charset val="222"/>
    </font>
  </fonts>
  <fills count="1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rgb="FFD8D8D8"/>
      </patternFill>
    </fill>
    <fill>
      <patternFill patternType="solid">
        <fgColor theme="9" tint="0.59999389629810485"/>
        <bgColor rgb="FFD8D8D8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0"/>
        <bgColor rgb="FFD9D9D9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 tint="-4.9989318521683403E-2"/>
        <bgColor rgb="FFFFFFFF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2" fillId="3" borderId="6" xfId="0" applyFont="1" applyFill="1" applyBorder="1" applyAlignment="1">
      <alignment vertical="top" wrapText="1"/>
    </xf>
    <xf numFmtId="0" fontId="14" fillId="3" borderId="6" xfId="0" applyFont="1" applyFill="1" applyBorder="1" applyAlignment="1">
      <alignment vertical="top" wrapText="1"/>
    </xf>
    <xf numFmtId="2" fontId="9" fillId="0" borderId="12" xfId="0" applyNumberFormat="1" applyFont="1" applyBorder="1" applyAlignment="1">
      <alignment horizontal="center" vertical="top" wrapText="1"/>
    </xf>
    <xf numFmtId="2" fontId="12" fillId="0" borderId="15" xfId="0" applyNumberFormat="1" applyFont="1" applyBorder="1" applyAlignment="1">
      <alignment horizontal="center" vertical="top" wrapText="1"/>
    </xf>
    <xf numFmtId="2" fontId="8" fillId="3" borderId="2" xfId="0" applyNumberFormat="1" applyFont="1" applyFill="1" applyBorder="1" applyAlignment="1">
      <alignment horizontal="center" vertical="top" wrapText="1"/>
    </xf>
    <xf numFmtId="2" fontId="11" fillId="3" borderId="15" xfId="0" applyNumberFormat="1" applyFont="1" applyFill="1" applyBorder="1" applyAlignment="1">
      <alignment horizontal="center" vertical="top" wrapText="1"/>
    </xf>
    <xf numFmtId="2" fontId="7" fillId="6" borderId="6" xfId="0" applyNumberFormat="1" applyFont="1" applyFill="1" applyBorder="1" applyAlignment="1">
      <alignment horizontal="center" vertical="top"/>
    </xf>
    <xf numFmtId="2" fontId="7" fillId="6" borderId="5" xfId="0" applyNumberFormat="1" applyFont="1" applyFill="1" applyBorder="1" applyAlignment="1">
      <alignment horizontal="center" vertical="top"/>
    </xf>
    <xf numFmtId="0" fontId="17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1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16" fillId="0" borderId="0" xfId="0" applyFont="1" applyAlignment="1">
      <alignment vertical="top"/>
    </xf>
    <xf numFmtId="0" fontId="7" fillId="2" borderId="2" xfId="0" applyFont="1" applyFill="1" applyBorder="1" applyAlignment="1">
      <alignment horizontal="center" vertical="top" wrapText="1"/>
    </xf>
    <xf numFmtId="0" fontId="10" fillId="2" borderId="7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center" vertical="top" wrapText="1"/>
    </xf>
    <xf numFmtId="0" fontId="6" fillId="2" borderId="6" xfId="0" applyFont="1" applyFill="1" applyBorder="1" applyAlignment="1">
      <alignment horizontal="center" vertical="top" wrapText="1"/>
    </xf>
    <xf numFmtId="0" fontId="13" fillId="2" borderId="6" xfId="0" applyFont="1" applyFill="1" applyBorder="1" applyAlignment="1">
      <alignment horizontal="center" vertical="top" wrapText="1"/>
    </xf>
    <xf numFmtId="0" fontId="15" fillId="2" borderId="6" xfId="0" applyFont="1" applyFill="1" applyBorder="1" applyAlignment="1">
      <alignment horizontal="center" vertical="top" wrapText="1"/>
    </xf>
    <xf numFmtId="0" fontId="6" fillId="2" borderId="2" xfId="0" applyFont="1" applyFill="1" applyBorder="1" applyAlignment="1">
      <alignment horizontal="center" vertical="top" wrapText="1"/>
    </xf>
    <xf numFmtId="0" fontId="4" fillId="2" borderId="7" xfId="0" applyFont="1" applyFill="1" applyBorder="1" applyAlignment="1">
      <alignment horizontal="center" vertical="top" wrapText="1"/>
    </xf>
    <xf numFmtId="0" fontId="7" fillId="2" borderId="6" xfId="0" applyFont="1" applyFill="1" applyBorder="1" applyAlignment="1">
      <alignment horizontal="center" vertical="top" wrapText="1"/>
    </xf>
    <xf numFmtId="0" fontId="10" fillId="2" borderId="5" xfId="0" applyFont="1" applyFill="1" applyBorder="1" applyAlignment="1">
      <alignment horizontal="center" vertical="top" wrapText="1"/>
    </xf>
    <xf numFmtId="0" fontId="10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vertical="top"/>
    </xf>
    <xf numFmtId="0" fontId="2" fillId="3" borderId="14" xfId="0" applyFont="1" applyFill="1" applyBorder="1" applyAlignment="1">
      <alignment vertical="top" wrapText="1"/>
    </xf>
    <xf numFmtId="2" fontId="8" fillId="3" borderId="6" xfId="0" applyNumberFormat="1" applyFont="1" applyFill="1" applyBorder="1" applyAlignment="1">
      <alignment horizontal="center" vertical="top" wrapText="1"/>
    </xf>
    <xf numFmtId="2" fontId="11" fillId="3" borderId="6" xfId="0" applyNumberFormat="1" applyFont="1" applyFill="1" applyBorder="1" applyAlignment="1">
      <alignment horizontal="center" vertical="top" wrapText="1"/>
    </xf>
    <xf numFmtId="2" fontId="2" fillId="3" borderId="6" xfId="0" applyNumberFormat="1" applyFont="1" applyFill="1" applyBorder="1" applyAlignment="1">
      <alignment horizontal="center" vertical="top" wrapText="1"/>
    </xf>
    <xf numFmtId="2" fontId="5" fillId="3" borderId="6" xfId="0" applyNumberFormat="1" applyFont="1" applyFill="1" applyBorder="1" applyAlignment="1">
      <alignment horizontal="center" vertical="top" wrapText="1"/>
    </xf>
    <xf numFmtId="2" fontId="3" fillId="3" borderId="6" xfId="0" applyNumberFormat="1" applyFont="1" applyFill="1" applyBorder="1" applyAlignment="1">
      <alignment horizontal="center" vertical="top" wrapText="1"/>
    </xf>
    <xf numFmtId="2" fontId="14" fillId="3" borderId="6" xfId="0" applyNumberFormat="1" applyFont="1" applyFill="1" applyBorder="1" applyAlignment="1">
      <alignment horizontal="center" vertical="top" wrapText="1"/>
    </xf>
    <xf numFmtId="2" fontId="16" fillId="3" borderId="6" xfId="0" applyNumberFormat="1" applyFont="1" applyFill="1" applyBorder="1" applyAlignment="1">
      <alignment horizontal="center" vertical="top" wrapText="1"/>
    </xf>
    <xf numFmtId="2" fontId="3" fillId="3" borderId="2" xfId="0" applyNumberFormat="1" applyFont="1" applyFill="1" applyBorder="1" applyAlignment="1">
      <alignment horizontal="center" vertical="top" wrapText="1"/>
    </xf>
    <xf numFmtId="2" fontId="2" fillId="3" borderId="7" xfId="0" applyNumberFormat="1" applyFont="1" applyFill="1" applyBorder="1" applyAlignment="1">
      <alignment horizontal="center" vertical="top" wrapText="1"/>
    </xf>
    <xf numFmtId="0" fontId="1" fillId="8" borderId="6" xfId="0" applyFont="1" applyFill="1" applyBorder="1" applyAlignment="1">
      <alignment vertical="top" wrapText="1"/>
    </xf>
    <xf numFmtId="2" fontId="7" fillId="8" borderId="6" xfId="0" applyNumberFormat="1" applyFont="1" applyFill="1" applyBorder="1" applyAlignment="1">
      <alignment horizontal="center" vertical="top" wrapText="1"/>
    </xf>
    <xf numFmtId="0" fontId="2" fillId="3" borderId="7" xfId="0" applyFont="1" applyFill="1" applyBorder="1" applyAlignment="1">
      <alignment vertical="top" wrapText="1"/>
    </xf>
    <xf numFmtId="2" fontId="8" fillId="0" borderId="7" xfId="0" applyNumberFormat="1" applyFont="1" applyBorder="1" applyAlignment="1">
      <alignment horizontal="center" vertical="top"/>
    </xf>
    <xf numFmtId="2" fontId="11" fillId="0" borderId="7" xfId="0" applyNumberFormat="1" applyFont="1" applyBorder="1" applyAlignment="1">
      <alignment horizontal="center" vertical="top"/>
    </xf>
    <xf numFmtId="2" fontId="3" fillId="0" borderId="7" xfId="0" applyNumberFormat="1" applyFont="1" applyBorder="1" applyAlignment="1">
      <alignment horizontal="center" vertical="top"/>
    </xf>
    <xf numFmtId="2" fontId="5" fillId="0" borderId="7" xfId="0" applyNumberFormat="1" applyFont="1" applyBorder="1" applyAlignment="1">
      <alignment horizontal="center" vertical="top"/>
    </xf>
    <xf numFmtId="2" fontId="14" fillId="0" borderId="7" xfId="0" applyNumberFormat="1" applyFont="1" applyBorder="1" applyAlignment="1">
      <alignment horizontal="center" vertical="top"/>
    </xf>
    <xf numFmtId="2" fontId="3" fillId="0" borderId="12" xfId="0" applyNumberFormat="1" applyFont="1" applyBorder="1" applyAlignment="1">
      <alignment horizontal="center" vertical="top"/>
    </xf>
    <xf numFmtId="2" fontId="8" fillId="3" borderId="10" xfId="0" applyNumberFormat="1" applyFont="1" applyFill="1" applyBorder="1" applyAlignment="1">
      <alignment horizontal="center" vertical="top" wrapText="1"/>
    </xf>
    <xf numFmtId="2" fontId="11" fillId="3" borderId="10" xfId="0" applyNumberFormat="1" applyFont="1" applyFill="1" applyBorder="1" applyAlignment="1">
      <alignment horizontal="center" vertical="top" wrapText="1"/>
    </xf>
    <xf numFmtId="2" fontId="2" fillId="3" borderId="5" xfId="0" applyNumberFormat="1" applyFont="1" applyFill="1" applyBorder="1" applyAlignment="1">
      <alignment horizontal="center" vertical="top" wrapText="1"/>
    </xf>
    <xf numFmtId="2" fontId="5" fillId="3" borderId="5" xfId="0" applyNumberFormat="1" applyFont="1" applyFill="1" applyBorder="1" applyAlignment="1">
      <alignment horizontal="center" vertical="top" wrapText="1"/>
    </xf>
    <xf numFmtId="2" fontId="3" fillId="3" borderId="5" xfId="0" applyNumberFormat="1" applyFont="1" applyFill="1" applyBorder="1" applyAlignment="1">
      <alignment horizontal="center" vertical="top" wrapText="1"/>
    </xf>
    <xf numFmtId="2" fontId="14" fillId="3" borderId="5" xfId="0" applyNumberFormat="1" applyFont="1" applyFill="1" applyBorder="1" applyAlignment="1">
      <alignment horizontal="center" vertical="top" wrapText="1"/>
    </xf>
    <xf numFmtId="2" fontId="3" fillId="3" borderId="13" xfId="0" applyNumberFormat="1" applyFont="1" applyFill="1" applyBorder="1" applyAlignment="1">
      <alignment horizontal="center" vertical="top" wrapText="1"/>
    </xf>
    <xf numFmtId="2" fontId="8" fillId="3" borderId="4" xfId="0" applyNumberFormat="1" applyFont="1" applyFill="1" applyBorder="1" applyAlignment="1">
      <alignment horizontal="center" vertical="top" wrapText="1"/>
    </xf>
    <xf numFmtId="2" fontId="11" fillId="3" borderId="4" xfId="0" applyNumberFormat="1" applyFont="1" applyFill="1" applyBorder="1" applyAlignment="1">
      <alignment horizontal="center" vertical="top" wrapText="1"/>
    </xf>
    <xf numFmtId="0" fontId="2" fillId="3" borderId="7" xfId="0" applyFont="1" applyFill="1" applyBorder="1" applyAlignment="1">
      <alignment horizontal="left" vertical="top" wrapText="1"/>
    </xf>
    <xf numFmtId="0" fontId="1" fillId="8" borderId="5" xfId="0" applyFont="1" applyFill="1" applyBorder="1" applyAlignment="1">
      <alignment horizontal="left" vertical="top" wrapText="1"/>
    </xf>
    <xf numFmtId="0" fontId="2" fillId="11" borderId="14" xfId="0" applyFont="1" applyFill="1" applyBorder="1" applyAlignment="1">
      <alignment vertical="top" wrapText="1"/>
    </xf>
    <xf numFmtId="2" fontId="8" fillId="11" borderId="6" xfId="0" applyNumberFormat="1" applyFont="1" applyFill="1" applyBorder="1" applyAlignment="1">
      <alignment horizontal="center" vertical="top" wrapText="1"/>
    </xf>
    <xf numFmtId="2" fontId="11" fillId="11" borderId="6" xfId="0" applyNumberFormat="1" applyFont="1" applyFill="1" applyBorder="1" applyAlignment="1">
      <alignment horizontal="center" vertical="top" wrapText="1"/>
    </xf>
    <xf numFmtId="2" fontId="2" fillId="11" borderId="6" xfId="0" applyNumberFormat="1" applyFont="1" applyFill="1" applyBorder="1" applyAlignment="1">
      <alignment horizontal="center" vertical="top" wrapText="1"/>
    </xf>
    <xf numFmtId="2" fontId="5" fillId="11" borderId="6" xfId="0" applyNumberFormat="1" applyFont="1" applyFill="1" applyBorder="1" applyAlignment="1">
      <alignment horizontal="center" vertical="top" wrapText="1"/>
    </xf>
    <xf numFmtId="2" fontId="3" fillId="11" borderId="6" xfId="0" applyNumberFormat="1" applyFont="1" applyFill="1" applyBorder="1" applyAlignment="1">
      <alignment horizontal="center" vertical="top" wrapText="1"/>
    </xf>
    <xf numFmtId="0" fontId="3" fillId="4" borderId="6" xfId="0" applyFont="1" applyFill="1" applyBorder="1" applyAlignment="1">
      <alignment horizontal="center" vertical="top" wrapText="1"/>
    </xf>
    <xf numFmtId="0" fontId="14" fillId="4" borderId="6" xfId="0" applyFont="1" applyFill="1" applyBorder="1" applyAlignment="1">
      <alignment horizontal="center" vertical="top" wrapText="1"/>
    </xf>
    <xf numFmtId="0" fontId="16" fillId="4" borderId="6" xfId="0" applyFont="1" applyFill="1" applyBorder="1" applyAlignment="1">
      <alignment horizontal="center" vertical="top" wrapText="1"/>
    </xf>
    <xf numFmtId="0" fontId="2" fillId="4" borderId="6" xfId="0" applyFont="1" applyFill="1" applyBorder="1" applyAlignment="1">
      <alignment horizontal="center" vertical="top" wrapText="1"/>
    </xf>
    <xf numFmtId="0" fontId="5" fillId="4" borderId="6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center" vertical="top" wrapText="1"/>
    </xf>
    <xf numFmtId="0" fontId="2" fillId="4" borderId="7" xfId="0" applyFont="1" applyFill="1" applyBorder="1" applyAlignment="1">
      <alignment horizontal="center" vertical="top" wrapText="1"/>
    </xf>
    <xf numFmtId="2" fontId="3" fillId="9" borderId="6" xfId="0" applyNumberFormat="1" applyFont="1" applyFill="1" applyBorder="1" applyAlignment="1">
      <alignment horizontal="center" vertical="top" wrapText="1"/>
    </xf>
    <xf numFmtId="2" fontId="5" fillId="9" borderId="6" xfId="0" applyNumberFormat="1" applyFont="1" applyFill="1" applyBorder="1" applyAlignment="1">
      <alignment horizontal="center" vertical="top" wrapText="1"/>
    </xf>
    <xf numFmtId="2" fontId="5" fillId="3" borderId="1" xfId="0" applyNumberFormat="1" applyFont="1" applyFill="1" applyBorder="1" applyAlignment="1">
      <alignment horizontal="center" vertical="top" wrapText="1"/>
    </xf>
    <xf numFmtId="2" fontId="3" fillId="9" borderId="1" xfId="0" applyNumberFormat="1" applyFont="1" applyFill="1" applyBorder="1" applyAlignment="1">
      <alignment horizontal="center" vertical="top" wrapText="1"/>
    </xf>
    <xf numFmtId="2" fontId="5" fillId="9" borderId="1" xfId="0" applyNumberFormat="1" applyFont="1" applyFill="1" applyBorder="1" applyAlignment="1">
      <alignment horizontal="center" vertical="top" wrapText="1"/>
    </xf>
    <xf numFmtId="2" fontId="5" fillId="3" borderId="2" xfId="0" applyNumberFormat="1" applyFont="1" applyFill="1" applyBorder="1" applyAlignment="1">
      <alignment horizontal="center" vertical="top" wrapText="1"/>
    </xf>
    <xf numFmtId="2" fontId="2" fillId="3" borderId="2" xfId="0" applyNumberFormat="1" applyFont="1" applyFill="1" applyBorder="1" applyAlignment="1">
      <alignment horizontal="center" vertical="top" wrapText="1"/>
    </xf>
    <xf numFmtId="2" fontId="5" fillId="3" borderId="15" xfId="0" applyNumberFormat="1" applyFont="1" applyFill="1" applyBorder="1" applyAlignment="1">
      <alignment horizontal="center" vertical="top" wrapText="1"/>
    </xf>
    <xf numFmtId="0" fontId="3" fillId="9" borderId="15" xfId="0" applyFont="1" applyFill="1" applyBorder="1" applyAlignment="1">
      <alignment horizontal="center" vertical="top" wrapText="1"/>
    </xf>
    <xf numFmtId="0" fontId="5" fillId="9" borderId="15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center" vertical="top" wrapText="1"/>
    </xf>
    <xf numFmtId="0" fontId="14" fillId="4" borderId="4" xfId="0" applyFont="1" applyFill="1" applyBorder="1" applyAlignment="1">
      <alignment horizontal="center" vertical="top" wrapText="1"/>
    </xf>
    <xf numFmtId="2" fontId="3" fillId="9" borderId="15" xfId="0" applyNumberFormat="1" applyFont="1" applyFill="1" applyBorder="1" applyAlignment="1">
      <alignment horizontal="center" vertical="top" wrapText="1"/>
    </xf>
    <xf numFmtId="2" fontId="5" fillId="9" borderId="15" xfId="0" applyNumberFormat="1" applyFont="1" applyFill="1" applyBorder="1" applyAlignment="1">
      <alignment horizontal="center" vertical="top" wrapText="1"/>
    </xf>
    <xf numFmtId="2" fontId="7" fillId="8" borderId="5" xfId="0" applyNumberFormat="1" applyFont="1" applyFill="1" applyBorder="1" applyAlignment="1">
      <alignment horizontal="center" vertical="top" wrapText="1"/>
    </xf>
    <xf numFmtId="2" fontId="10" fillId="8" borderId="5" xfId="0" applyNumberFormat="1" applyFont="1" applyFill="1" applyBorder="1" applyAlignment="1">
      <alignment horizontal="center" vertical="top" wrapText="1"/>
    </xf>
    <xf numFmtId="2" fontId="1" fillId="8" borderId="5" xfId="0" applyNumberFormat="1" applyFont="1" applyFill="1" applyBorder="1" applyAlignment="1">
      <alignment horizontal="center" vertical="top" wrapText="1"/>
    </xf>
    <xf numFmtId="2" fontId="4" fillId="8" borderId="5" xfId="0" applyNumberFormat="1" applyFont="1" applyFill="1" applyBorder="1" applyAlignment="1">
      <alignment horizontal="center" vertical="top" wrapText="1"/>
    </xf>
    <xf numFmtId="0" fontId="2" fillId="3" borderId="6" xfId="0" applyFont="1" applyFill="1" applyBorder="1" applyAlignment="1">
      <alignment horizontal="left" vertical="top" wrapText="1"/>
    </xf>
    <xf numFmtId="2" fontId="8" fillId="0" borderId="6" xfId="0" applyNumberFormat="1" applyFont="1" applyBorder="1" applyAlignment="1">
      <alignment horizontal="center" vertical="top" wrapText="1"/>
    </xf>
    <xf numFmtId="2" fontId="11" fillId="0" borderId="6" xfId="0" applyNumberFormat="1" applyFont="1" applyBorder="1" applyAlignment="1">
      <alignment horizontal="center" vertical="top" wrapText="1"/>
    </xf>
    <xf numFmtId="2" fontId="2" fillId="0" borderId="6" xfId="0" applyNumberFormat="1" applyFont="1" applyBorder="1" applyAlignment="1">
      <alignment horizontal="center" vertical="top" wrapText="1"/>
    </xf>
    <xf numFmtId="2" fontId="5" fillId="0" borderId="6" xfId="0" applyNumberFormat="1" applyFont="1" applyBorder="1" applyAlignment="1">
      <alignment horizontal="center" vertical="top" wrapText="1"/>
    </xf>
    <xf numFmtId="2" fontId="3" fillId="0" borderId="6" xfId="0" applyNumberFormat="1" applyFont="1" applyBorder="1" applyAlignment="1">
      <alignment horizontal="center" vertical="top" wrapText="1"/>
    </xf>
    <xf numFmtId="2" fontId="18" fillId="8" borderId="6" xfId="0" applyNumberFormat="1" applyFont="1" applyFill="1" applyBorder="1" applyAlignment="1">
      <alignment horizontal="center" vertical="top" wrapText="1"/>
    </xf>
    <xf numFmtId="2" fontId="3" fillId="4" borderId="6" xfId="0" applyNumberFormat="1" applyFont="1" applyFill="1" applyBorder="1" applyAlignment="1">
      <alignment horizontal="center" vertical="top" wrapText="1"/>
    </xf>
    <xf numFmtId="2" fontId="14" fillId="4" borderId="6" xfId="0" applyNumberFormat="1" applyFont="1" applyFill="1" applyBorder="1" applyAlignment="1">
      <alignment horizontal="center" vertical="top" wrapText="1"/>
    </xf>
    <xf numFmtId="2" fontId="3" fillId="12" borderId="6" xfId="0" applyNumberFormat="1" applyFont="1" applyFill="1" applyBorder="1" applyAlignment="1">
      <alignment horizontal="center" vertical="top" wrapText="1"/>
    </xf>
    <xf numFmtId="2" fontId="16" fillId="12" borderId="6" xfId="0" applyNumberFormat="1" applyFont="1" applyFill="1" applyBorder="1" applyAlignment="1">
      <alignment horizontal="center" vertical="top" wrapText="1"/>
    </xf>
    <xf numFmtId="2" fontId="3" fillId="10" borderId="6" xfId="0" applyNumberFormat="1" applyFont="1" applyFill="1" applyBorder="1" applyAlignment="1">
      <alignment horizontal="center" vertical="top" wrapText="1"/>
    </xf>
    <xf numFmtId="2" fontId="5" fillId="10" borderId="6" xfId="0" applyNumberFormat="1" applyFont="1" applyFill="1" applyBorder="1" applyAlignment="1">
      <alignment horizontal="center" vertical="top" wrapText="1"/>
    </xf>
    <xf numFmtId="2" fontId="3" fillId="4" borderId="2" xfId="0" applyNumberFormat="1" applyFont="1" applyFill="1" applyBorder="1" applyAlignment="1">
      <alignment horizontal="center" vertical="top" wrapText="1"/>
    </xf>
    <xf numFmtId="2" fontId="2" fillId="4" borderId="7" xfId="0" applyNumberFormat="1" applyFont="1" applyFill="1" applyBorder="1" applyAlignment="1">
      <alignment horizontal="center" vertical="top" wrapText="1"/>
    </xf>
    <xf numFmtId="0" fontId="3" fillId="3" borderId="6" xfId="0" applyFont="1" applyFill="1" applyBorder="1" applyAlignment="1">
      <alignment vertical="top" wrapText="1"/>
    </xf>
    <xf numFmtId="2" fontId="14" fillId="10" borderId="6" xfId="0" applyNumberFormat="1" applyFont="1" applyFill="1" applyBorder="1" applyAlignment="1">
      <alignment horizontal="center" vertical="top" wrapText="1"/>
    </xf>
    <xf numFmtId="2" fontId="16" fillId="11" borderId="6" xfId="0" applyNumberFormat="1" applyFont="1" applyFill="1" applyBorder="1" applyAlignment="1">
      <alignment horizontal="center" vertical="top" wrapText="1"/>
    </xf>
    <xf numFmtId="2" fontId="2" fillId="10" borderId="6" xfId="0" applyNumberFormat="1" applyFont="1" applyFill="1" applyBorder="1" applyAlignment="1">
      <alignment horizontal="center" vertical="top" wrapText="1"/>
    </xf>
    <xf numFmtId="2" fontId="3" fillId="10" borderId="2" xfId="0" applyNumberFormat="1" applyFont="1" applyFill="1" applyBorder="1" applyAlignment="1">
      <alignment horizontal="center" vertical="top" wrapText="1"/>
    </xf>
    <xf numFmtId="2" fontId="2" fillId="10" borderId="7" xfId="0" applyNumberFormat="1" applyFont="1" applyFill="1" applyBorder="1" applyAlignment="1">
      <alignment horizontal="center" vertical="top" wrapText="1"/>
    </xf>
    <xf numFmtId="2" fontId="6" fillId="5" borderId="6" xfId="0" applyNumberFormat="1" applyFont="1" applyFill="1" applyBorder="1" applyAlignment="1">
      <alignment horizontal="center" vertical="top" wrapText="1"/>
    </xf>
    <xf numFmtId="2" fontId="13" fillId="5" borderId="6" xfId="0" applyNumberFormat="1" applyFont="1" applyFill="1" applyBorder="1" applyAlignment="1">
      <alignment horizontal="center" vertical="top" wrapText="1"/>
    </xf>
    <xf numFmtId="2" fontId="15" fillId="5" borderId="6" xfId="0" applyNumberFormat="1" applyFont="1" applyFill="1" applyBorder="1" applyAlignment="1">
      <alignment horizontal="center" vertical="top" wrapText="1"/>
    </xf>
    <xf numFmtId="2" fontId="1" fillId="5" borderId="6" xfId="0" applyNumberFormat="1" applyFont="1" applyFill="1" applyBorder="1" applyAlignment="1">
      <alignment horizontal="center" vertical="top" wrapText="1"/>
    </xf>
    <xf numFmtId="2" fontId="4" fillId="5" borderId="6" xfId="0" applyNumberFormat="1" applyFont="1" applyFill="1" applyBorder="1" applyAlignment="1">
      <alignment horizontal="center" vertical="top" wrapText="1"/>
    </xf>
    <xf numFmtId="2" fontId="6" fillId="5" borderId="2" xfId="0" applyNumberFormat="1" applyFont="1" applyFill="1" applyBorder="1" applyAlignment="1">
      <alignment horizontal="center" vertical="top" wrapText="1"/>
    </xf>
    <xf numFmtId="2" fontId="1" fillId="5" borderId="7" xfId="0" applyNumberFormat="1" applyFont="1" applyFill="1" applyBorder="1" applyAlignment="1">
      <alignment horizontal="center" vertical="top" wrapText="1"/>
    </xf>
    <xf numFmtId="0" fontId="1" fillId="5" borderId="6" xfId="0" applyFont="1" applyFill="1" applyBorder="1" applyAlignment="1">
      <alignment vertical="top" wrapText="1"/>
    </xf>
    <xf numFmtId="2" fontId="7" fillId="5" borderId="6" xfId="0" applyNumberFormat="1" applyFont="1" applyFill="1" applyBorder="1" applyAlignment="1">
      <alignment horizontal="center" vertical="top" wrapText="1"/>
    </xf>
    <xf numFmtId="2" fontId="7" fillId="5" borderId="1" xfId="0" applyNumberFormat="1" applyFont="1" applyFill="1" applyBorder="1" applyAlignment="1">
      <alignment horizontal="center" vertical="top" wrapText="1"/>
    </xf>
    <xf numFmtId="2" fontId="5" fillId="4" borderId="6" xfId="0" applyNumberFormat="1" applyFont="1" applyFill="1" applyBorder="1" applyAlignment="1">
      <alignment horizontal="center" vertical="top" wrapText="1"/>
    </xf>
    <xf numFmtId="0" fontId="2" fillId="4" borderId="4" xfId="0" applyFont="1" applyFill="1" applyBorder="1" applyAlignment="1">
      <alignment horizontal="center" vertical="top" wrapText="1"/>
    </xf>
    <xf numFmtId="0" fontId="1" fillId="3" borderId="6" xfId="0" applyFont="1" applyFill="1" applyBorder="1" applyAlignment="1">
      <alignment vertical="top" wrapText="1"/>
    </xf>
    <xf numFmtId="0" fontId="1" fillId="5" borderId="6" xfId="0" applyFont="1" applyFill="1" applyBorder="1" applyAlignment="1">
      <alignment horizontal="center" vertical="top"/>
    </xf>
    <xf numFmtId="0" fontId="4" fillId="5" borderId="6" xfId="0" applyFont="1" applyFill="1" applyBorder="1" applyAlignment="1">
      <alignment horizontal="center" vertical="top"/>
    </xf>
    <xf numFmtId="0" fontId="6" fillId="5" borderId="6" xfId="0" applyFont="1" applyFill="1" applyBorder="1" applyAlignment="1">
      <alignment horizontal="center" vertical="top"/>
    </xf>
    <xf numFmtId="0" fontId="13" fillId="5" borderId="6" xfId="0" applyFont="1" applyFill="1" applyBorder="1" applyAlignment="1">
      <alignment horizontal="center" vertical="top"/>
    </xf>
    <xf numFmtId="0" fontId="15" fillId="5" borderId="6" xfId="0" applyFont="1" applyFill="1" applyBorder="1" applyAlignment="1">
      <alignment horizontal="center" vertical="top"/>
    </xf>
    <xf numFmtId="0" fontId="6" fillId="5" borderId="2" xfId="0" applyFont="1" applyFill="1" applyBorder="1" applyAlignment="1">
      <alignment horizontal="center" vertical="top"/>
    </xf>
    <xf numFmtId="0" fontId="1" fillId="5" borderId="7" xfId="0" applyFont="1" applyFill="1" applyBorder="1" applyAlignment="1">
      <alignment horizontal="center" vertical="top"/>
    </xf>
    <xf numFmtId="2" fontId="7" fillId="7" borderId="6" xfId="0" applyNumberFormat="1" applyFont="1" applyFill="1" applyBorder="1" applyAlignment="1">
      <alignment horizontal="center" vertical="top"/>
    </xf>
    <xf numFmtId="2" fontId="7" fillId="7" borderId="5" xfId="0" applyNumberFormat="1" applyFont="1" applyFill="1" applyBorder="1" applyAlignment="1">
      <alignment horizontal="center" vertical="top"/>
    </xf>
    <xf numFmtId="2" fontId="5" fillId="3" borderId="7" xfId="0" applyNumberFormat="1" applyFont="1" applyFill="1" applyBorder="1" applyAlignment="1">
      <alignment horizontal="center" vertical="top" wrapText="1"/>
    </xf>
    <xf numFmtId="0" fontId="3" fillId="11" borderId="6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vertical="top" wrapText="1"/>
    </xf>
    <xf numFmtId="0" fontId="3" fillId="0" borderId="3" xfId="0" applyFont="1" applyBorder="1" applyAlignment="1">
      <alignment vertical="top"/>
    </xf>
    <xf numFmtId="0" fontId="4" fillId="2" borderId="1" xfId="0" applyFont="1" applyFill="1" applyBorder="1" applyAlignment="1">
      <alignment horizontal="center" vertical="top" wrapText="1"/>
    </xf>
    <xf numFmtId="0" fontId="4" fillId="2" borderId="11" xfId="0" applyFont="1" applyFill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6" fillId="3" borderId="2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3" fillId="0" borderId="9" xfId="0" applyFont="1" applyBorder="1" applyAlignment="1">
      <alignment vertical="top"/>
    </xf>
    <xf numFmtId="0" fontId="4" fillId="2" borderId="16" xfId="0" applyFont="1" applyFill="1" applyBorder="1" applyAlignment="1">
      <alignment horizontal="center" vertical="top" wrapText="1"/>
    </xf>
    <xf numFmtId="0" fontId="4" fillId="2" borderId="0" xfId="0" applyFont="1" applyFill="1" applyAlignment="1">
      <alignment horizontal="center" vertical="top" wrapText="1"/>
    </xf>
    <xf numFmtId="0" fontId="4" fillId="2" borderId="17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F6DF-393B-448E-822E-2288823859C5}">
  <dimension ref="A1:AD1004"/>
  <sheetViews>
    <sheetView tabSelected="1" zoomScale="94" workbookViewId="0">
      <pane ySplit="4" topLeftCell="A25" activePane="bottomLeft" state="frozen"/>
      <selection pane="bottomLeft" activeCell="N35" sqref="N35"/>
    </sheetView>
  </sheetViews>
  <sheetFormatPr baseColWidth="10" defaultColWidth="12.6640625" defaultRowHeight="24"/>
  <cols>
    <col min="1" max="1" width="43.1640625" style="12" customWidth="1"/>
    <col min="2" max="2" width="8.6640625" style="10" customWidth="1"/>
    <col min="3" max="3" width="8.6640625" style="11" customWidth="1"/>
    <col min="4" max="4" width="8.6640625" style="12" customWidth="1"/>
    <col min="5" max="5" width="8.6640625" style="13" customWidth="1"/>
    <col min="6" max="6" width="8.6640625" style="12" customWidth="1"/>
    <col min="7" max="7" width="8.6640625" style="13" customWidth="1"/>
    <col min="8" max="8" width="8.6640625" style="12" customWidth="1"/>
    <col min="9" max="9" width="8.6640625" style="13" customWidth="1"/>
    <col min="10" max="10" width="8.6640625" style="12" customWidth="1"/>
    <col min="11" max="11" width="8.6640625" style="13" customWidth="1"/>
    <col min="12" max="12" width="8.6640625" style="12" customWidth="1"/>
    <col min="13" max="13" width="8.6640625" style="13" customWidth="1"/>
    <col min="14" max="14" width="8.6640625" style="12" customWidth="1"/>
    <col min="15" max="15" width="8.6640625" style="13" customWidth="1"/>
    <col min="16" max="16" width="8.6640625" style="12" customWidth="1"/>
    <col min="17" max="17" width="8.6640625" style="13" customWidth="1"/>
    <col min="18" max="18" width="8.6640625" style="14" customWidth="1"/>
    <col min="19" max="19" width="8.6640625" style="13" customWidth="1"/>
    <col min="20" max="20" width="8.6640625" style="14" customWidth="1"/>
    <col min="21" max="21" width="8.6640625" style="15" customWidth="1"/>
    <col min="22" max="22" width="8.6640625" style="14" customWidth="1"/>
    <col min="23" max="23" width="8.6640625" style="16" customWidth="1"/>
    <col min="24" max="24" width="8.6640625" style="12" customWidth="1"/>
    <col min="25" max="25" width="8.6640625" style="13" customWidth="1"/>
    <col min="26" max="26" width="8.6640625" style="14" customWidth="1"/>
    <col min="27" max="27" width="8.6640625" style="13" customWidth="1"/>
    <col min="28" max="28" width="8.6640625" style="14" customWidth="1"/>
    <col min="29" max="40" width="8.6640625" style="12" customWidth="1"/>
    <col min="41" max="16384" width="12.6640625" style="12"/>
  </cols>
  <sheetData>
    <row r="1" spans="1:30" ht="27">
      <c r="A1" s="9" t="s">
        <v>61</v>
      </c>
    </row>
    <row r="2" spans="1:30" s="13" customFormat="1" ht="24" customHeight="1">
      <c r="A2" s="138" t="s">
        <v>0</v>
      </c>
      <c r="B2" s="144" t="s">
        <v>1</v>
      </c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6"/>
    </row>
    <row r="3" spans="1:30" s="13" customFormat="1" ht="25">
      <c r="A3" s="139"/>
      <c r="B3" s="17" t="s">
        <v>62</v>
      </c>
      <c r="C3" s="18" t="s">
        <v>62</v>
      </c>
      <c r="D3" s="19" t="s">
        <v>2</v>
      </c>
      <c r="E3" s="20" t="s">
        <v>2</v>
      </c>
      <c r="F3" s="21" t="s">
        <v>3</v>
      </c>
      <c r="G3" s="20" t="s">
        <v>3</v>
      </c>
      <c r="H3" s="21" t="s">
        <v>4</v>
      </c>
      <c r="I3" s="20" t="s">
        <v>4</v>
      </c>
      <c r="J3" s="21" t="s">
        <v>5</v>
      </c>
      <c r="K3" s="20" t="s">
        <v>5</v>
      </c>
      <c r="L3" s="21" t="s">
        <v>6</v>
      </c>
      <c r="M3" s="20" t="s">
        <v>6</v>
      </c>
      <c r="N3" s="21" t="s">
        <v>7</v>
      </c>
      <c r="O3" s="20" t="s">
        <v>7</v>
      </c>
      <c r="P3" s="21" t="s">
        <v>8</v>
      </c>
      <c r="Q3" s="20" t="s">
        <v>8</v>
      </c>
      <c r="R3" s="21" t="s">
        <v>9</v>
      </c>
      <c r="S3" s="20" t="s">
        <v>9</v>
      </c>
      <c r="T3" s="21" t="s">
        <v>26</v>
      </c>
      <c r="U3" s="22" t="s">
        <v>26</v>
      </c>
      <c r="V3" s="21" t="s">
        <v>10</v>
      </c>
      <c r="W3" s="23" t="s">
        <v>10</v>
      </c>
      <c r="X3" s="20" t="s">
        <v>11</v>
      </c>
      <c r="Y3" s="20" t="s">
        <v>11</v>
      </c>
      <c r="Z3" s="21" t="s">
        <v>58</v>
      </c>
      <c r="AA3" s="20" t="s">
        <v>58</v>
      </c>
      <c r="AB3" s="24" t="s">
        <v>12</v>
      </c>
      <c r="AC3" s="25" t="s">
        <v>12</v>
      </c>
    </row>
    <row r="4" spans="1:30" s="13" customFormat="1" ht="25">
      <c r="A4" s="140"/>
      <c r="B4" s="26" t="s">
        <v>59</v>
      </c>
      <c r="C4" s="27" t="s">
        <v>60</v>
      </c>
      <c r="D4" s="26" t="s">
        <v>59</v>
      </c>
      <c r="E4" s="28" t="s">
        <v>60</v>
      </c>
      <c r="F4" s="26" t="s">
        <v>59</v>
      </c>
      <c r="G4" s="28" t="s">
        <v>60</v>
      </c>
      <c r="H4" s="26" t="s">
        <v>59</v>
      </c>
      <c r="I4" s="28" t="s">
        <v>60</v>
      </c>
      <c r="J4" s="26" t="s">
        <v>59</v>
      </c>
      <c r="K4" s="28" t="s">
        <v>60</v>
      </c>
      <c r="L4" s="26" t="s">
        <v>59</v>
      </c>
      <c r="M4" s="28" t="s">
        <v>60</v>
      </c>
      <c r="N4" s="26" t="s">
        <v>59</v>
      </c>
      <c r="O4" s="28" t="s">
        <v>60</v>
      </c>
      <c r="P4" s="26" t="s">
        <v>59</v>
      </c>
      <c r="Q4" s="28" t="s">
        <v>60</v>
      </c>
      <c r="R4" s="26" t="s">
        <v>59</v>
      </c>
      <c r="S4" s="28" t="s">
        <v>60</v>
      </c>
      <c r="T4" s="26" t="s">
        <v>59</v>
      </c>
      <c r="U4" s="28" t="s">
        <v>60</v>
      </c>
      <c r="V4" s="26" t="s">
        <v>59</v>
      </c>
      <c r="W4" s="28" t="s">
        <v>60</v>
      </c>
      <c r="X4" s="26" t="s">
        <v>59</v>
      </c>
      <c r="Y4" s="28" t="s">
        <v>60</v>
      </c>
      <c r="Z4" s="26" t="s">
        <v>59</v>
      </c>
      <c r="AA4" s="28" t="s">
        <v>60</v>
      </c>
      <c r="AB4" s="17" t="s">
        <v>59</v>
      </c>
      <c r="AC4" s="18" t="s">
        <v>60</v>
      </c>
    </row>
    <row r="5" spans="1:30">
      <c r="A5" s="141" t="s">
        <v>63</v>
      </c>
      <c r="B5" s="137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29"/>
    </row>
    <row r="6" spans="1:30" ht="75">
      <c r="A6" s="30" t="s">
        <v>65</v>
      </c>
      <c r="B6" s="31">
        <v>5</v>
      </c>
      <c r="C6" s="32">
        <v>5</v>
      </c>
      <c r="D6" s="33">
        <v>3</v>
      </c>
      <c r="E6" s="34">
        <v>4</v>
      </c>
      <c r="F6" s="33">
        <v>5</v>
      </c>
      <c r="G6" s="34">
        <v>5</v>
      </c>
      <c r="H6" s="33">
        <v>5</v>
      </c>
      <c r="I6" s="34">
        <v>5</v>
      </c>
      <c r="J6" s="33">
        <v>5</v>
      </c>
      <c r="K6" s="34">
        <v>5</v>
      </c>
      <c r="L6" s="33">
        <v>5</v>
      </c>
      <c r="M6" s="34">
        <v>5</v>
      </c>
      <c r="N6" s="33">
        <v>5</v>
      </c>
      <c r="O6" s="34">
        <v>5</v>
      </c>
      <c r="P6" s="33">
        <v>4</v>
      </c>
      <c r="Q6" s="34">
        <v>5</v>
      </c>
      <c r="R6" s="35">
        <v>5</v>
      </c>
      <c r="S6" s="34">
        <v>5</v>
      </c>
      <c r="T6" s="35">
        <v>3</v>
      </c>
      <c r="U6" s="36">
        <v>5</v>
      </c>
      <c r="V6" s="35">
        <v>5</v>
      </c>
      <c r="W6" s="34">
        <v>5</v>
      </c>
      <c r="X6" s="33">
        <v>5</v>
      </c>
      <c r="Y6" s="34">
        <v>5</v>
      </c>
      <c r="Z6" s="35">
        <v>3</v>
      </c>
      <c r="AA6" s="34">
        <v>1</v>
      </c>
      <c r="AB6" s="38">
        <v>5</v>
      </c>
      <c r="AC6" s="134">
        <v>5</v>
      </c>
    </row>
    <row r="7" spans="1:30" ht="75">
      <c r="A7" s="30" t="s">
        <v>66</v>
      </c>
      <c r="B7" s="31">
        <v>4</v>
      </c>
      <c r="C7" s="32">
        <v>4</v>
      </c>
      <c r="D7" s="33">
        <v>4</v>
      </c>
      <c r="E7" s="34">
        <v>4</v>
      </c>
      <c r="F7" s="33">
        <v>4</v>
      </c>
      <c r="G7" s="34">
        <v>5</v>
      </c>
      <c r="H7" s="33">
        <v>4</v>
      </c>
      <c r="I7" s="34">
        <v>5</v>
      </c>
      <c r="J7" s="33">
        <v>4</v>
      </c>
      <c r="K7" s="34">
        <v>4</v>
      </c>
      <c r="L7" s="33">
        <v>4</v>
      </c>
      <c r="M7" s="34">
        <v>5</v>
      </c>
      <c r="N7" s="33">
        <v>4</v>
      </c>
      <c r="O7" s="34">
        <v>4</v>
      </c>
      <c r="P7" s="33">
        <v>4</v>
      </c>
      <c r="Q7" s="34">
        <v>4</v>
      </c>
      <c r="R7" s="35">
        <v>4</v>
      </c>
      <c r="S7" s="34">
        <v>5</v>
      </c>
      <c r="T7" s="35"/>
      <c r="U7" s="36"/>
      <c r="V7" s="35"/>
      <c r="W7" s="37"/>
      <c r="X7" s="33"/>
      <c r="Y7" s="34"/>
      <c r="Z7" s="35"/>
      <c r="AA7" s="34"/>
      <c r="AB7" s="38"/>
      <c r="AC7" s="39"/>
    </row>
    <row r="8" spans="1:30" ht="25">
      <c r="A8" s="40" t="s">
        <v>27</v>
      </c>
      <c r="B8" s="41">
        <f t="shared" ref="B8:AC8" si="0">AVERAGE(B6:B7)</f>
        <v>4.5</v>
      </c>
      <c r="C8" s="41">
        <f t="shared" si="0"/>
        <v>4.5</v>
      </c>
      <c r="D8" s="41">
        <f t="shared" si="0"/>
        <v>3.5</v>
      </c>
      <c r="E8" s="41">
        <f t="shared" si="0"/>
        <v>4</v>
      </c>
      <c r="F8" s="41">
        <f t="shared" si="0"/>
        <v>4.5</v>
      </c>
      <c r="G8" s="41">
        <f t="shared" si="0"/>
        <v>5</v>
      </c>
      <c r="H8" s="41">
        <f t="shared" si="0"/>
        <v>4.5</v>
      </c>
      <c r="I8" s="41">
        <f t="shared" si="0"/>
        <v>5</v>
      </c>
      <c r="J8" s="41">
        <f t="shared" si="0"/>
        <v>4.5</v>
      </c>
      <c r="K8" s="41">
        <f t="shared" si="0"/>
        <v>4.5</v>
      </c>
      <c r="L8" s="41">
        <f t="shared" si="0"/>
        <v>4.5</v>
      </c>
      <c r="M8" s="41">
        <f t="shared" si="0"/>
        <v>5</v>
      </c>
      <c r="N8" s="41">
        <f t="shared" si="0"/>
        <v>4.5</v>
      </c>
      <c r="O8" s="41">
        <f t="shared" si="0"/>
        <v>4.5</v>
      </c>
      <c r="P8" s="41">
        <f t="shared" si="0"/>
        <v>4</v>
      </c>
      <c r="Q8" s="41">
        <f t="shared" si="0"/>
        <v>4.5</v>
      </c>
      <c r="R8" s="41">
        <f t="shared" si="0"/>
        <v>4.5</v>
      </c>
      <c r="S8" s="41">
        <f t="shared" si="0"/>
        <v>5</v>
      </c>
      <c r="T8" s="41">
        <f t="shared" si="0"/>
        <v>3</v>
      </c>
      <c r="U8" s="41">
        <f t="shared" si="0"/>
        <v>5</v>
      </c>
      <c r="V8" s="41">
        <f t="shared" si="0"/>
        <v>5</v>
      </c>
      <c r="W8" s="41">
        <f t="shared" si="0"/>
        <v>5</v>
      </c>
      <c r="X8" s="41">
        <f t="shared" si="0"/>
        <v>5</v>
      </c>
      <c r="Y8" s="41">
        <f t="shared" si="0"/>
        <v>5</v>
      </c>
      <c r="Z8" s="41">
        <f t="shared" si="0"/>
        <v>3</v>
      </c>
      <c r="AA8" s="41">
        <f t="shared" si="0"/>
        <v>1</v>
      </c>
      <c r="AB8" s="41">
        <f t="shared" si="0"/>
        <v>5</v>
      </c>
      <c r="AC8" s="41">
        <f t="shared" si="0"/>
        <v>5</v>
      </c>
    </row>
    <row r="9" spans="1:30">
      <c r="A9" s="142" t="s">
        <v>13</v>
      </c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29"/>
    </row>
    <row r="10" spans="1:30" ht="50">
      <c r="A10" s="42" t="s">
        <v>67</v>
      </c>
      <c r="B10" s="43">
        <v>3.82</v>
      </c>
      <c r="C10" s="44">
        <v>2.6</v>
      </c>
      <c r="D10" s="45">
        <v>5</v>
      </c>
      <c r="E10" s="46">
        <v>4.53</v>
      </c>
      <c r="F10" s="45">
        <v>4.91</v>
      </c>
      <c r="G10" s="46">
        <v>4.92</v>
      </c>
      <c r="H10" s="45">
        <v>5</v>
      </c>
      <c r="I10" s="46">
        <v>1.32</v>
      </c>
      <c r="J10" s="45">
        <v>4.8</v>
      </c>
      <c r="K10" s="46">
        <v>3.54</v>
      </c>
      <c r="L10" s="45">
        <v>5</v>
      </c>
      <c r="M10" s="46">
        <v>4.55</v>
      </c>
      <c r="N10" s="45">
        <v>5</v>
      </c>
      <c r="O10" s="46">
        <v>3.92</v>
      </c>
      <c r="P10" s="45">
        <v>4.5</v>
      </c>
      <c r="Q10" s="46">
        <v>4.34</v>
      </c>
      <c r="R10" s="45">
        <v>3.97</v>
      </c>
      <c r="S10" s="46">
        <v>3.77</v>
      </c>
      <c r="T10" s="45">
        <v>3.26</v>
      </c>
      <c r="U10" s="47">
        <v>1.88</v>
      </c>
      <c r="V10" s="45">
        <v>5</v>
      </c>
      <c r="W10" s="46">
        <v>5</v>
      </c>
      <c r="X10" s="45">
        <v>5</v>
      </c>
      <c r="Y10" s="46">
        <v>2.48</v>
      </c>
      <c r="Z10" s="45">
        <v>4.71</v>
      </c>
      <c r="AA10" s="46">
        <v>4.9000000000000004</v>
      </c>
      <c r="AB10" s="48">
        <v>0.75</v>
      </c>
      <c r="AC10" s="46">
        <v>2.0299999999999998</v>
      </c>
      <c r="AD10" s="14"/>
    </row>
    <row r="11" spans="1:30" ht="50">
      <c r="A11" s="42" t="s">
        <v>68</v>
      </c>
      <c r="B11" s="49">
        <v>2.89</v>
      </c>
      <c r="C11" s="50">
        <v>3.81</v>
      </c>
      <c r="D11" s="51">
        <v>3.8</v>
      </c>
      <c r="E11" s="52">
        <v>4.6399999999999997</v>
      </c>
      <c r="F11" s="51">
        <v>3.62</v>
      </c>
      <c r="G11" s="52">
        <v>4.91</v>
      </c>
      <c r="H11" s="51">
        <v>3</v>
      </c>
      <c r="I11" s="52">
        <v>3.15</v>
      </c>
      <c r="J11" s="51">
        <v>3.84</v>
      </c>
      <c r="K11" s="52">
        <v>4.28</v>
      </c>
      <c r="L11" s="51">
        <v>5</v>
      </c>
      <c r="M11" s="52">
        <v>4.8899999999999997</v>
      </c>
      <c r="N11" s="51">
        <v>3.56</v>
      </c>
      <c r="O11" s="52">
        <v>4.3099999999999996</v>
      </c>
      <c r="P11" s="51">
        <v>3.55</v>
      </c>
      <c r="Q11" s="52">
        <v>4.63</v>
      </c>
      <c r="R11" s="53">
        <v>3.44</v>
      </c>
      <c r="S11" s="52">
        <v>3.95</v>
      </c>
      <c r="T11" s="53">
        <v>2.48</v>
      </c>
      <c r="U11" s="54">
        <v>3.45</v>
      </c>
      <c r="V11" s="53">
        <v>3.83</v>
      </c>
      <c r="W11" s="52">
        <v>4.46</v>
      </c>
      <c r="X11" s="51">
        <v>4.7300000000000004</v>
      </c>
      <c r="Y11" s="52">
        <v>3.75</v>
      </c>
      <c r="Z11" s="53">
        <v>4.38</v>
      </c>
      <c r="AA11" s="52">
        <v>4.95</v>
      </c>
      <c r="AB11" s="55">
        <v>0.68</v>
      </c>
      <c r="AC11" s="134">
        <v>3.57</v>
      </c>
    </row>
    <row r="12" spans="1:30" ht="75">
      <c r="A12" s="42" t="s">
        <v>69</v>
      </c>
      <c r="B12" s="56">
        <v>5</v>
      </c>
      <c r="C12" s="57">
        <v>5</v>
      </c>
      <c r="D12" s="33">
        <v>5</v>
      </c>
      <c r="E12" s="34">
        <v>5</v>
      </c>
      <c r="F12" s="33">
        <v>5</v>
      </c>
      <c r="G12" s="34">
        <v>5</v>
      </c>
      <c r="H12" s="33">
        <v>5</v>
      </c>
      <c r="I12" s="34">
        <v>5</v>
      </c>
      <c r="J12" s="33">
        <v>5</v>
      </c>
      <c r="K12" s="34">
        <v>5</v>
      </c>
      <c r="L12" s="33">
        <v>5</v>
      </c>
      <c r="M12" s="34">
        <v>5</v>
      </c>
      <c r="N12" s="33">
        <v>5</v>
      </c>
      <c r="O12" s="34">
        <v>5</v>
      </c>
      <c r="P12" s="33">
        <v>5</v>
      </c>
      <c r="Q12" s="34">
        <v>5</v>
      </c>
      <c r="R12" s="35">
        <v>5</v>
      </c>
      <c r="S12" s="34">
        <v>5</v>
      </c>
      <c r="T12" s="35">
        <v>5</v>
      </c>
      <c r="U12" s="36">
        <v>4.8499999999999996</v>
      </c>
      <c r="V12" s="35">
        <v>5</v>
      </c>
      <c r="W12" s="34">
        <v>5</v>
      </c>
      <c r="X12" s="33">
        <v>5</v>
      </c>
      <c r="Y12" s="34">
        <v>5</v>
      </c>
      <c r="Z12" s="35">
        <v>5</v>
      </c>
      <c r="AA12" s="34">
        <v>5</v>
      </c>
      <c r="AB12" s="38">
        <v>5</v>
      </c>
      <c r="AC12" s="134">
        <v>4.95</v>
      </c>
    </row>
    <row r="13" spans="1:30" ht="75">
      <c r="A13" s="58" t="s">
        <v>70</v>
      </c>
      <c r="B13" s="56">
        <v>3.42</v>
      </c>
      <c r="C13" s="57">
        <v>4.9400000000000004</v>
      </c>
      <c r="D13" s="33">
        <v>3.75</v>
      </c>
      <c r="E13" s="34">
        <v>3.52</v>
      </c>
      <c r="F13" s="33">
        <v>3.18</v>
      </c>
      <c r="G13" s="34">
        <v>5</v>
      </c>
      <c r="H13" s="33">
        <v>4.05</v>
      </c>
      <c r="I13" s="34">
        <v>5</v>
      </c>
      <c r="J13" s="33">
        <v>4.26</v>
      </c>
      <c r="K13" s="34">
        <v>3.88</v>
      </c>
      <c r="L13" s="33">
        <v>3.6</v>
      </c>
      <c r="M13" s="34">
        <v>4.6100000000000003</v>
      </c>
      <c r="N13" s="33">
        <v>2.62</v>
      </c>
      <c r="O13" s="34">
        <v>5</v>
      </c>
      <c r="P13" s="33">
        <v>2.84</v>
      </c>
      <c r="Q13" s="34">
        <v>4.59</v>
      </c>
      <c r="R13" s="35">
        <v>5</v>
      </c>
      <c r="S13" s="34">
        <v>5</v>
      </c>
      <c r="T13" s="35">
        <v>3.25</v>
      </c>
      <c r="U13" s="36">
        <v>4.8899999999999997</v>
      </c>
      <c r="V13" s="35">
        <v>3.36</v>
      </c>
      <c r="W13" s="34">
        <v>5</v>
      </c>
      <c r="X13" s="33">
        <v>3.89</v>
      </c>
      <c r="Y13" s="34">
        <v>4.8</v>
      </c>
      <c r="Z13" s="35">
        <v>4.53</v>
      </c>
      <c r="AA13" s="34">
        <v>5</v>
      </c>
      <c r="AB13" s="38">
        <v>4.5199999999999996</v>
      </c>
      <c r="AC13" s="134">
        <v>4.9800000000000004</v>
      </c>
    </row>
    <row r="14" spans="1:30" ht="25">
      <c r="A14" s="59" t="s">
        <v>28</v>
      </c>
      <c r="B14" s="41">
        <f t="shared" ref="B14:AC14" si="1">AVERAGE(B10:B13)</f>
        <v>3.7825000000000002</v>
      </c>
      <c r="C14" s="41">
        <f t="shared" si="1"/>
        <v>4.0875000000000004</v>
      </c>
      <c r="D14" s="41">
        <f t="shared" si="1"/>
        <v>4.3875000000000002</v>
      </c>
      <c r="E14" s="41">
        <f t="shared" si="1"/>
        <v>4.4225000000000003</v>
      </c>
      <c r="F14" s="41">
        <f t="shared" si="1"/>
        <v>4.1775000000000002</v>
      </c>
      <c r="G14" s="41">
        <f t="shared" si="1"/>
        <v>4.9574999999999996</v>
      </c>
      <c r="H14" s="41">
        <f t="shared" si="1"/>
        <v>4.2625000000000002</v>
      </c>
      <c r="I14" s="41">
        <f t="shared" si="1"/>
        <v>3.6174999999999997</v>
      </c>
      <c r="J14" s="41">
        <f t="shared" si="1"/>
        <v>4.4749999999999996</v>
      </c>
      <c r="K14" s="41">
        <f t="shared" si="1"/>
        <v>4.1749999999999998</v>
      </c>
      <c r="L14" s="41">
        <f t="shared" si="1"/>
        <v>4.6500000000000004</v>
      </c>
      <c r="M14" s="41">
        <f t="shared" si="1"/>
        <v>4.7625000000000002</v>
      </c>
      <c r="N14" s="41">
        <f t="shared" si="1"/>
        <v>4.0449999999999999</v>
      </c>
      <c r="O14" s="41">
        <f t="shared" si="1"/>
        <v>4.5575000000000001</v>
      </c>
      <c r="P14" s="41">
        <f t="shared" si="1"/>
        <v>3.9725000000000001</v>
      </c>
      <c r="Q14" s="41">
        <f t="shared" si="1"/>
        <v>4.6399999999999997</v>
      </c>
      <c r="R14" s="41">
        <f t="shared" si="1"/>
        <v>4.3525</v>
      </c>
      <c r="S14" s="41">
        <f t="shared" si="1"/>
        <v>4.43</v>
      </c>
      <c r="T14" s="41">
        <f t="shared" si="1"/>
        <v>3.4975000000000001</v>
      </c>
      <c r="U14" s="41">
        <f t="shared" si="1"/>
        <v>3.7675000000000001</v>
      </c>
      <c r="V14" s="41">
        <f t="shared" si="1"/>
        <v>4.2975000000000003</v>
      </c>
      <c r="W14" s="41">
        <f t="shared" si="1"/>
        <v>4.8650000000000002</v>
      </c>
      <c r="X14" s="41">
        <f t="shared" si="1"/>
        <v>4.6550000000000002</v>
      </c>
      <c r="Y14" s="41">
        <f t="shared" si="1"/>
        <v>4.0075000000000003</v>
      </c>
      <c r="Z14" s="41">
        <f t="shared" si="1"/>
        <v>4.6550000000000002</v>
      </c>
      <c r="AA14" s="41">
        <f t="shared" si="1"/>
        <v>4.9625000000000004</v>
      </c>
      <c r="AB14" s="41">
        <f t="shared" si="1"/>
        <v>2.7374999999999998</v>
      </c>
      <c r="AC14" s="41">
        <f t="shared" si="1"/>
        <v>3.8825000000000003</v>
      </c>
    </row>
    <row r="15" spans="1:30">
      <c r="A15" s="136" t="s">
        <v>14</v>
      </c>
      <c r="B15" s="137"/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29"/>
    </row>
    <row r="16" spans="1:30">
      <c r="A16" s="147" t="s">
        <v>15</v>
      </c>
      <c r="B16" s="137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29"/>
    </row>
    <row r="17" spans="1:29" ht="25">
      <c r="A17" s="60" t="s">
        <v>71</v>
      </c>
      <c r="B17" s="61">
        <v>4.3899999999999997</v>
      </c>
      <c r="C17" s="62">
        <v>4.57</v>
      </c>
      <c r="D17" s="63">
        <v>3.14</v>
      </c>
      <c r="E17" s="64">
        <v>3.62</v>
      </c>
      <c r="F17" s="63">
        <v>3.13</v>
      </c>
      <c r="G17" s="64">
        <v>3.27</v>
      </c>
      <c r="H17" s="63">
        <v>5</v>
      </c>
      <c r="I17" s="64">
        <v>5</v>
      </c>
      <c r="J17" s="63">
        <v>3.28</v>
      </c>
      <c r="K17" s="64">
        <v>3.54</v>
      </c>
      <c r="L17" s="63">
        <v>5</v>
      </c>
      <c r="M17" s="64">
        <v>5</v>
      </c>
      <c r="N17" s="63">
        <v>5</v>
      </c>
      <c r="O17" s="64">
        <v>5</v>
      </c>
      <c r="P17" s="63">
        <v>4.37</v>
      </c>
      <c r="Q17" s="64">
        <v>4.96</v>
      </c>
      <c r="R17" s="65">
        <v>0.56000000000000005</v>
      </c>
      <c r="S17" s="64">
        <v>0.61</v>
      </c>
      <c r="T17" s="66"/>
      <c r="U17" s="67"/>
      <c r="V17" s="66"/>
      <c r="W17" s="68"/>
      <c r="X17" s="69"/>
      <c r="Y17" s="70"/>
      <c r="Z17" s="66"/>
      <c r="AA17" s="70"/>
      <c r="AB17" s="71"/>
      <c r="AC17" s="72"/>
    </row>
    <row r="18" spans="1:29" ht="25">
      <c r="A18" s="30" t="s">
        <v>49</v>
      </c>
      <c r="B18" s="31">
        <v>4.58</v>
      </c>
      <c r="C18" s="32">
        <v>4.6100000000000003</v>
      </c>
      <c r="D18" s="33">
        <v>4.4800000000000004</v>
      </c>
      <c r="E18" s="34">
        <v>4.57</v>
      </c>
      <c r="F18" s="33">
        <v>4.5599999999999996</v>
      </c>
      <c r="G18" s="34">
        <v>4.58</v>
      </c>
      <c r="H18" s="33">
        <v>4.66</v>
      </c>
      <c r="I18" s="34">
        <v>4.7</v>
      </c>
      <c r="J18" s="33">
        <v>4.53</v>
      </c>
      <c r="K18" s="34">
        <v>4.53</v>
      </c>
      <c r="L18" s="33">
        <v>4.63</v>
      </c>
      <c r="M18" s="34">
        <v>4.66</v>
      </c>
      <c r="N18" s="33">
        <v>4.5199999999999996</v>
      </c>
      <c r="O18" s="34">
        <v>4.5599999999999996</v>
      </c>
      <c r="P18" s="33">
        <v>4.5</v>
      </c>
      <c r="Q18" s="34">
        <v>4.58</v>
      </c>
      <c r="R18" s="35">
        <v>4.87</v>
      </c>
      <c r="S18" s="34">
        <v>4.82</v>
      </c>
      <c r="T18" s="66"/>
      <c r="U18" s="67"/>
      <c r="V18" s="66"/>
      <c r="W18" s="68"/>
      <c r="X18" s="69"/>
      <c r="Y18" s="70"/>
      <c r="Z18" s="66"/>
      <c r="AA18" s="70"/>
      <c r="AB18" s="71"/>
      <c r="AC18" s="72"/>
    </row>
    <row r="19" spans="1:29" ht="25">
      <c r="A19" s="30" t="s">
        <v>50</v>
      </c>
      <c r="B19" s="31">
        <v>5</v>
      </c>
      <c r="C19" s="32">
        <v>5</v>
      </c>
      <c r="D19" s="33">
        <v>5</v>
      </c>
      <c r="E19" s="34">
        <v>5</v>
      </c>
      <c r="F19" s="33">
        <v>5</v>
      </c>
      <c r="G19" s="34">
        <v>5</v>
      </c>
      <c r="H19" s="33">
        <v>5</v>
      </c>
      <c r="I19" s="34">
        <v>5</v>
      </c>
      <c r="J19" s="33">
        <v>5</v>
      </c>
      <c r="K19" s="34">
        <v>4</v>
      </c>
      <c r="L19" s="33">
        <v>5</v>
      </c>
      <c r="M19" s="34">
        <v>5</v>
      </c>
      <c r="N19" s="33">
        <v>5</v>
      </c>
      <c r="O19" s="34">
        <v>5</v>
      </c>
      <c r="P19" s="33">
        <v>5</v>
      </c>
      <c r="Q19" s="34">
        <v>3</v>
      </c>
      <c r="R19" s="35">
        <v>5</v>
      </c>
      <c r="S19" s="34">
        <v>5</v>
      </c>
      <c r="T19" s="66"/>
      <c r="U19" s="67"/>
      <c r="V19" s="66"/>
      <c r="W19" s="68"/>
      <c r="X19" s="69"/>
      <c r="Y19" s="70"/>
      <c r="Z19" s="66"/>
      <c r="AA19" s="70"/>
      <c r="AB19" s="71"/>
      <c r="AC19" s="72"/>
    </row>
    <row r="20" spans="1:29">
      <c r="A20" s="136" t="s">
        <v>16</v>
      </c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29"/>
    </row>
    <row r="21" spans="1:29" ht="25">
      <c r="A21" s="1" t="s">
        <v>17</v>
      </c>
      <c r="B21" s="31">
        <v>3.12</v>
      </c>
      <c r="C21" s="32">
        <v>3.55</v>
      </c>
      <c r="D21" s="33">
        <v>4.71</v>
      </c>
      <c r="E21" s="34">
        <v>5</v>
      </c>
      <c r="F21" s="33">
        <v>3.29</v>
      </c>
      <c r="G21" s="34">
        <v>3.19</v>
      </c>
      <c r="H21" s="33">
        <v>2.82</v>
      </c>
      <c r="I21" s="34">
        <v>3.61</v>
      </c>
      <c r="J21" s="33">
        <v>3.36</v>
      </c>
      <c r="K21" s="34">
        <v>2.0299999999999998</v>
      </c>
      <c r="L21" s="33">
        <v>2</v>
      </c>
      <c r="M21" s="34">
        <v>3.72</v>
      </c>
      <c r="N21" s="33">
        <v>0.52</v>
      </c>
      <c r="O21" s="34">
        <v>1.79</v>
      </c>
      <c r="P21" s="33">
        <v>2.25</v>
      </c>
      <c r="Q21" s="34">
        <v>3.07</v>
      </c>
      <c r="R21" s="73">
        <v>5</v>
      </c>
      <c r="S21" s="74">
        <v>5</v>
      </c>
      <c r="T21" s="66"/>
      <c r="U21" s="67"/>
      <c r="V21" s="66"/>
      <c r="W21" s="68"/>
      <c r="X21" s="69"/>
      <c r="Y21" s="70"/>
      <c r="Z21" s="66"/>
      <c r="AA21" s="70"/>
      <c r="AB21" s="71"/>
      <c r="AC21" s="72"/>
    </row>
    <row r="22" spans="1:29" ht="25">
      <c r="A22" s="1" t="s">
        <v>46</v>
      </c>
      <c r="B22" s="31">
        <v>5</v>
      </c>
      <c r="C22" s="32">
        <v>4.4800000000000004</v>
      </c>
      <c r="D22" s="33">
        <v>5</v>
      </c>
      <c r="E22" s="34">
        <v>4.7</v>
      </c>
      <c r="F22" s="33">
        <v>4.9400000000000004</v>
      </c>
      <c r="G22" s="34">
        <v>4.16</v>
      </c>
      <c r="H22" s="33">
        <v>5</v>
      </c>
      <c r="I22" s="34">
        <v>4.46</v>
      </c>
      <c r="J22" s="33">
        <v>5</v>
      </c>
      <c r="K22" s="34">
        <v>4.6900000000000004</v>
      </c>
      <c r="L22" s="33">
        <v>4.92</v>
      </c>
      <c r="M22" s="34">
        <v>3.92</v>
      </c>
      <c r="N22" s="33">
        <v>5</v>
      </c>
      <c r="O22" s="34">
        <v>4.62</v>
      </c>
      <c r="P22" s="33">
        <v>5</v>
      </c>
      <c r="Q22" s="75">
        <v>4.49</v>
      </c>
      <c r="R22" s="76">
        <v>5</v>
      </c>
      <c r="S22" s="77">
        <v>4.84</v>
      </c>
      <c r="T22" s="66"/>
      <c r="U22" s="67"/>
      <c r="V22" s="66"/>
      <c r="W22" s="68"/>
      <c r="X22" s="69"/>
      <c r="Y22" s="70"/>
      <c r="Z22" s="66"/>
      <c r="AA22" s="70"/>
      <c r="AB22" s="71"/>
      <c r="AC22" s="72"/>
    </row>
    <row r="23" spans="1:29" ht="50">
      <c r="A23" s="1" t="s">
        <v>55</v>
      </c>
      <c r="B23" s="31">
        <v>4.33</v>
      </c>
      <c r="C23" s="32">
        <v>4.3899999999999997</v>
      </c>
      <c r="D23" s="33">
        <v>4.34</v>
      </c>
      <c r="E23" s="34">
        <v>4.8</v>
      </c>
      <c r="F23" s="33">
        <v>4.28</v>
      </c>
      <c r="G23" s="34">
        <v>4.49</v>
      </c>
      <c r="H23" s="33">
        <v>4.4800000000000004</v>
      </c>
      <c r="I23" s="34">
        <v>4.3099999999999996</v>
      </c>
      <c r="J23" s="33">
        <v>4.71</v>
      </c>
      <c r="K23" s="34">
        <v>4.28</v>
      </c>
      <c r="L23" s="33">
        <v>4.0999999999999996</v>
      </c>
      <c r="M23" s="34">
        <v>4.47</v>
      </c>
      <c r="N23" s="33">
        <v>3.93</v>
      </c>
      <c r="O23" s="78">
        <v>4.24</v>
      </c>
      <c r="P23" s="79">
        <v>4.66</v>
      </c>
      <c r="Q23" s="80">
        <v>4.59</v>
      </c>
      <c r="R23" s="81">
        <v>4.13</v>
      </c>
      <c r="S23" s="82">
        <v>3.92</v>
      </c>
      <c r="T23" s="83"/>
      <c r="U23" s="84"/>
      <c r="V23" s="66"/>
      <c r="W23" s="68"/>
      <c r="X23" s="69"/>
      <c r="Y23" s="70"/>
      <c r="Z23" s="66"/>
      <c r="AA23" s="70"/>
      <c r="AB23" s="71"/>
      <c r="AC23" s="72"/>
    </row>
    <row r="24" spans="1:29" ht="50">
      <c r="A24" s="1" t="s">
        <v>56</v>
      </c>
      <c r="B24" s="31">
        <v>4.6399999999999997</v>
      </c>
      <c r="C24" s="32">
        <v>4.4800000000000004</v>
      </c>
      <c r="D24" s="33">
        <v>4.7</v>
      </c>
      <c r="E24" s="34">
        <v>4.79</v>
      </c>
      <c r="F24" s="33">
        <v>4.46</v>
      </c>
      <c r="G24" s="34">
        <v>4.74</v>
      </c>
      <c r="H24" s="33">
        <v>4.5599999999999996</v>
      </c>
      <c r="I24" s="34">
        <v>4.4400000000000004</v>
      </c>
      <c r="J24" s="33">
        <v>4.71</v>
      </c>
      <c r="K24" s="34">
        <v>4.42</v>
      </c>
      <c r="L24" s="33">
        <v>4.1100000000000003</v>
      </c>
      <c r="M24" s="34">
        <v>4.59</v>
      </c>
      <c r="N24" s="33">
        <v>3.96</v>
      </c>
      <c r="O24" s="78">
        <v>4.24</v>
      </c>
      <c r="P24" s="79">
        <v>4.7699999999999996</v>
      </c>
      <c r="Q24" s="80">
        <v>4.63</v>
      </c>
      <c r="R24" s="81">
        <v>4.32</v>
      </c>
      <c r="S24" s="82">
        <v>4.55</v>
      </c>
      <c r="T24" s="83"/>
      <c r="U24" s="84"/>
      <c r="V24" s="66"/>
      <c r="W24" s="68"/>
      <c r="X24" s="69"/>
      <c r="Y24" s="70"/>
      <c r="Z24" s="66"/>
      <c r="AA24" s="70"/>
      <c r="AB24" s="71"/>
      <c r="AC24" s="72"/>
    </row>
    <row r="25" spans="1:29" ht="50">
      <c r="A25" s="1" t="s">
        <v>57</v>
      </c>
      <c r="B25" s="31">
        <v>3.57</v>
      </c>
      <c r="C25" s="32">
        <v>3.86</v>
      </c>
      <c r="D25" s="33">
        <v>3.78</v>
      </c>
      <c r="E25" s="34">
        <v>3.69</v>
      </c>
      <c r="F25" s="33">
        <v>3.84</v>
      </c>
      <c r="G25" s="34">
        <v>4.25</v>
      </c>
      <c r="H25" s="33">
        <v>3.13</v>
      </c>
      <c r="I25" s="34">
        <v>3.8</v>
      </c>
      <c r="J25" s="33">
        <v>3.28</v>
      </c>
      <c r="K25" s="34">
        <v>3.84</v>
      </c>
      <c r="L25" s="33">
        <v>3.08</v>
      </c>
      <c r="M25" s="34">
        <v>3.63</v>
      </c>
      <c r="N25" s="33">
        <v>3.46</v>
      </c>
      <c r="O25" s="78">
        <v>3.71</v>
      </c>
      <c r="P25" s="79">
        <v>3.32</v>
      </c>
      <c r="Q25" s="80">
        <v>3.92</v>
      </c>
      <c r="R25" s="85">
        <v>4.83</v>
      </c>
      <c r="S25" s="86">
        <v>4.8899999999999997</v>
      </c>
      <c r="T25" s="83"/>
      <c r="U25" s="84"/>
      <c r="V25" s="66"/>
      <c r="W25" s="68"/>
      <c r="X25" s="69"/>
      <c r="Y25" s="70"/>
      <c r="Z25" s="66"/>
      <c r="AA25" s="70"/>
      <c r="AB25" s="71"/>
      <c r="AC25" s="72"/>
    </row>
    <row r="26" spans="1:29" ht="25">
      <c r="A26" s="40" t="s">
        <v>29</v>
      </c>
      <c r="B26" s="87">
        <f t="shared" ref="B26:S26" si="2">AVERAGE(B21:B25,B17:B19)</f>
        <v>4.3287500000000003</v>
      </c>
      <c r="C26" s="88">
        <f t="shared" si="2"/>
        <v>4.3674999999999997</v>
      </c>
      <c r="D26" s="89">
        <f t="shared" si="2"/>
        <v>4.3937500000000007</v>
      </c>
      <c r="E26" s="90">
        <f t="shared" si="2"/>
        <v>4.5212500000000002</v>
      </c>
      <c r="F26" s="89">
        <f t="shared" si="2"/>
        <v>4.1875</v>
      </c>
      <c r="G26" s="90">
        <f t="shared" si="2"/>
        <v>4.21</v>
      </c>
      <c r="H26" s="89">
        <f t="shared" si="2"/>
        <v>4.3312499999999998</v>
      </c>
      <c r="I26" s="90">
        <f t="shared" si="2"/>
        <v>4.415</v>
      </c>
      <c r="J26" s="89">
        <f t="shared" si="2"/>
        <v>4.2337500000000006</v>
      </c>
      <c r="K26" s="90">
        <f t="shared" si="2"/>
        <v>3.9162499999999998</v>
      </c>
      <c r="L26" s="89">
        <f t="shared" si="2"/>
        <v>4.1050000000000004</v>
      </c>
      <c r="M26" s="90">
        <f t="shared" si="2"/>
        <v>4.3737499999999994</v>
      </c>
      <c r="N26" s="89">
        <f t="shared" si="2"/>
        <v>3.9237500000000001</v>
      </c>
      <c r="O26" s="90">
        <f t="shared" si="2"/>
        <v>4.1449999999999996</v>
      </c>
      <c r="P26" s="89">
        <f t="shared" si="2"/>
        <v>4.2337500000000006</v>
      </c>
      <c r="Q26" s="90">
        <f t="shared" si="2"/>
        <v>4.1550000000000002</v>
      </c>
      <c r="R26" s="89">
        <f t="shared" si="2"/>
        <v>4.2137500000000001</v>
      </c>
      <c r="S26" s="90">
        <f t="shared" si="2"/>
        <v>4.2037499999999994</v>
      </c>
      <c r="T26" s="66"/>
      <c r="U26" s="67"/>
      <c r="V26" s="66"/>
      <c r="W26" s="68"/>
      <c r="X26" s="69"/>
      <c r="Y26" s="70"/>
      <c r="Z26" s="66"/>
      <c r="AA26" s="70"/>
      <c r="AB26" s="71"/>
      <c r="AC26" s="72"/>
    </row>
    <row r="27" spans="1:29">
      <c r="A27" s="136" t="s">
        <v>18</v>
      </c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29"/>
    </row>
    <row r="28" spans="1:29" ht="25">
      <c r="A28" s="91" t="s">
        <v>19</v>
      </c>
      <c r="B28" s="31">
        <v>4.72</v>
      </c>
      <c r="C28" s="32">
        <v>4.34</v>
      </c>
      <c r="D28" s="33">
        <v>2.5499999999999998</v>
      </c>
      <c r="E28" s="34">
        <v>3.94</v>
      </c>
      <c r="F28" s="33">
        <v>5</v>
      </c>
      <c r="G28" s="34">
        <v>2.59</v>
      </c>
      <c r="H28" s="33">
        <v>2.23</v>
      </c>
      <c r="I28" s="34">
        <v>5</v>
      </c>
      <c r="J28" s="33">
        <v>4.28</v>
      </c>
      <c r="K28" s="34">
        <v>5</v>
      </c>
      <c r="L28" s="33">
        <v>4.09</v>
      </c>
      <c r="M28" s="34">
        <v>5</v>
      </c>
      <c r="N28" s="33">
        <v>5</v>
      </c>
      <c r="O28" s="34">
        <v>5</v>
      </c>
      <c r="P28" s="33">
        <v>5</v>
      </c>
      <c r="Q28" s="34">
        <v>5</v>
      </c>
      <c r="R28" s="35">
        <v>4.1500000000000004</v>
      </c>
      <c r="S28" s="34">
        <v>3.03</v>
      </c>
      <c r="T28" s="66"/>
      <c r="U28" s="67"/>
      <c r="V28" s="66"/>
      <c r="W28" s="68"/>
      <c r="X28" s="69"/>
      <c r="Y28" s="70"/>
      <c r="Z28" s="66"/>
      <c r="AA28" s="70"/>
      <c r="AB28" s="71"/>
      <c r="AC28" s="72"/>
    </row>
    <row r="29" spans="1:29" ht="25">
      <c r="A29" s="135" t="s">
        <v>30</v>
      </c>
      <c r="B29" s="61">
        <v>5</v>
      </c>
      <c r="C29" s="62">
        <v>5</v>
      </c>
      <c r="D29" s="63">
        <v>5</v>
      </c>
      <c r="E29" s="64">
        <v>5</v>
      </c>
      <c r="F29" s="63">
        <v>5</v>
      </c>
      <c r="G29" s="64">
        <v>2.23</v>
      </c>
      <c r="H29" s="63">
        <v>5</v>
      </c>
      <c r="I29" s="64">
        <v>4.04</v>
      </c>
      <c r="J29" s="63">
        <v>5</v>
      </c>
      <c r="K29" s="64">
        <v>5</v>
      </c>
      <c r="L29" s="63">
        <v>5</v>
      </c>
      <c r="M29" s="64">
        <v>5</v>
      </c>
      <c r="N29" s="63">
        <v>5</v>
      </c>
      <c r="O29" s="64">
        <v>5</v>
      </c>
      <c r="P29" s="63">
        <v>5</v>
      </c>
      <c r="Q29" s="64">
        <v>5</v>
      </c>
      <c r="R29" s="65">
        <v>2.44</v>
      </c>
      <c r="S29" s="64">
        <v>5</v>
      </c>
      <c r="T29" s="66"/>
      <c r="U29" s="67"/>
      <c r="V29" s="66"/>
      <c r="W29" s="68"/>
      <c r="X29" s="69"/>
      <c r="Y29" s="70"/>
      <c r="Z29" s="66"/>
      <c r="AA29" s="70"/>
      <c r="AB29" s="71"/>
      <c r="AC29" s="72"/>
    </row>
    <row r="30" spans="1:29" ht="50">
      <c r="A30" s="1" t="s">
        <v>64</v>
      </c>
      <c r="B30" s="31" t="s">
        <v>48</v>
      </c>
      <c r="C30" s="32">
        <v>3.95</v>
      </c>
      <c r="D30" s="33" t="s">
        <v>48</v>
      </c>
      <c r="E30" s="34">
        <v>5</v>
      </c>
      <c r="F30" s="33" t="s">
        <v>48</v>
      </c>
      <c r="G30" s="34">
        <v>5</v>
      </c>
      <c r="H30" s="33" t="s">
        <v>48</v>
      </c>
      <c r="I30" s="34">
        <v>5</v>
      </c>
      <c r="J30" s="33" t="s">
        <v>48</v>
      </c>
      <c r="K30" s="34">
        <v>5</v>
      </c>
      <c r="L30" s="33" t="s">
        <v>48</v>
      </c>
      <c r="M30" s="34">
        <v>5</v>
      </c>
      <c r="N30" s="33" t="s">
        <v>48</v>
      </c>
      <c r="O30" s="34">
        <v>5</v>
      </c>
      <c r="P30" s="33" t="s">
        <v>48</v>
      </c>
      <c r="Q30" s="34">
        <v>5</v>
      </c>
      <c r="R30" s="35" t="s">
        <v>48</v>
      </c>
      <c r="S30" s="34">
        <v>1.85</v>
      </c>
      <c r="T30" s="66"/>
      <c r="U30" s="67"/>
      <c r="V30" s="66"/>
      <c r="W30" s="68"/>
      <c r="X30" s="69"/>
      <c r="Y30" s="70"/>
      <c r="Z30" s="66"/>
      <c r="AA30" s="70"/>
      <c r="AB30" s="71"/>
      <c r="AC30" s="72"/>
    </row>
    <row r="31" spans="1:29" ht="50">
      <c r="A31" s="1" t="s">
        <v>51</v>
      </c>
      <c r="B31" s="92" t="s">
        <v>48</v>
      </c>
      <c r="C31" s="93">
        <v>2.19</v>
      </c>
      <c r="D31" s="94" t="s">
        <v>48</v>
      </c>
      <c r="E31" s="95">
        <v>0</v>
      </c>
      <c r="F31" s="94" t="s">
        <v>48</v>
      </c>
      <c r="G31" s="95">
        <v>0</v>
      </c>
      <c r="H31" s="94" t="s">
        <v>48</v>
      </c>
      <c r="I31" s="95">
        <v>0.61</v>
      </c>
      <c r="J31" s="94">
        <v>2.38</v>
      </c>
      <c r="K31" s="95">
        <v>0.56999999999999995</v>
      </c>
      <c r="L31" s="94">
        <v>5</v>
      </c>
      <c r="M31" s="95">
        <v>1.01</v>
      </c>
      <c r="N31" s="94">
        <v>2.38</v>
      </c>
      <c r="O31" s="95">
        <v>0</v>
      </c>
      <c r="P31" s="94" t="s">
        <v>48</v>
      </c>
      <c r="Q31" s="95">
        <v>0</v>
      </c>
      <c r="R31" s="96"/>
      <c r="S31" s="95">
        <v>0</v>
      </c>
      <c r="T31" s="66"/>
      <c r="U31" s="67"/>
      <c r="V31" s="66"/>
      <c r="W31" s="68"/>
      <c r="X31" s="69"/>
      <c r="Y31" s="70"/>
      <c r="Z31" s="66"/>
      <c r="AA31" s="70"/>
      <c r="AB31" s="71"/>
      <c r="AC31" s="72"/>
    </row>
    <row r="32" spans="1:29" ht="25">
      <c r="A32" s="40" t="s">
        <v>31</v>
      </c>
      <c r="B32" s="97">
        <f>AVERAGE(B28:B31)</f>
        <v>4.8599999999999994</v>
      </c>
      <c r="C32" s="97">
        <f t="shared" ref="C32:S32" si="3">AVERAGE(C28:C31)</f>
        <v>3.8699999999999997</v>
      </c>
      <c r="D32" s="97">
        <f t="shared" si="3"/>
        <v>3.7749999999999999</v>
      </c>
      <c r="E32" s="97">
        <f t="shared" si="3"/>
        <v>3.4849999999999999</v>
      </c>
      <c r="F32" s="97">
        <f t="shared" si="3"/>
        <v>5</v>
      </c>
      <c r="G32" s="97">
        <f t="shared" si="3"/>
        <v>2.4550000000000001</v>
      </c>
      <c r="H32" s="97">
        <f t="shared" si="3"/>
        <v>3.6150000000000002</v>
      </c>
      <c r="I32" s="97">
        <f t="shared" si="3"/>
        <v>3.6624999999999996</v>
      </c>
      <c r="J32" s="97">
        <f t="shared" si="3"/>
        <v>3.8866666666666667</v>
      </c>
      <c r="K32" s="97">
        <f t="shared" si="3"/>
        <v>3.8925000000000001</v>
      </c>
      <c r="L32" s="97">
        <f t="shared" si="3"/>
        <v>4.6966666666666663</v>
      </c>
      <c r="M32" s="97">
        <f t="shared" si="3"/>
        <v>4.0025000000000004</v>
      </c>
      <c r="N32" s="97">
        <f t="shared" si="3"/>
        <v>4.126666666666666</v>
      </c>
      <c r="O32" s="97">
        <f t="shared" si="3"/>
        <v>3.75</v>
      </c>
      <c r="P32" s="97">
        <f t="shared" si="3"/>
        <v>5</v>
      </c>
      <c r="Q32" s="97">
        <f t="shared" si="3"/>
        <v>3.75</v>
      </c>
      <c r="R32" s="97">
        <f t="shared" si="3"/>
        <v>3.2949999999999999</v>
      </c>
      <c r="S32" s="97">
        <f t="shared" si="3"/>
        <v>2.4699999999999998</v>
      </c>
      <c r="T32" s="66"/>
      <c r="U32" s="67"/>
      <c r="V32" s="66"/>
      <c r="W32" s="68"/>
      <c r="X32" s="69"/>
      <c r="Y32" s="70"/>
      <c r="Z32" s="66"/>
      <c r="AA32" s="70"/>
      <c r="AB32" s="71"/>
      <c r="AC32" s="72"/>
    </row>
    <row r="33" spans="1:29">
      <c r="A33" s="136" t="s">
        <v>20</v>
      </c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  <c r="Z33" s="137"/>
      <c r="AA33" s="137"/>
      <c r="AB33" s="137"/>
      <c r="AC33" s="29"/>
    </row>
    <row r="34" spans="1:29" ht="25">
      <c r="A34" s="1" t="s">
        <v>53</v>
      </c>
      <c r="B34" s="31">
        <v>4.63</v>
      </c>
      <c r="C34" s="32">
        <v>4.55</v>
      </c>
      <c r="D34" s="33">
        <v>0</v>
      </c>
      <c r="E34" s="34">
        <v>0</v>
      </c>
      <c r="F34" s="33">
        <v>5</v>
      </c>
      <c r="G34" s="34">
        <v>2.08</v>
      </c>
      <c r="H34" s="33">
        <v>0</v>
      </c>
      <c r="I34" s="34">
        <v>5</v>
      </c>
      <c r="J34" s="33">
        <v>5</v>
      </c>
      <c r="K34" s="34">
        <v>5</v>
      </c>
      <c r="L34" s="33">
        <v>5</v>
      </c>
      <c r="M34" s="34">
        <v>4.6900000000000004</v>
      </c>
      <c r="N34" s="33">
        <v>0</v>
      </c>
      <c r="O34" s="34">
        <v>5</v>
      </c>
      <c r="P34" s="33">
        <v>0</v>
      </c>
      <c r="Q34" s="34">
        <v>0</v>
      </c>
      <c r="R34" s="35">
        <v>0</v>
      </c>
      <c r="S34" s="34">
        <v>0</v>
      </c>
      <c r="T34" s="98"/>
      <c r="U34" s="99"/>
      <c r="V34" s="100"/>
      <c r="W34" s="101"/>
      <c r="X34" s="33"/>
      <c r="Y34" s="34"/>
      <c r="Z34" s="102"/>
      <c r="AA34" s="103"/>
      <c r="AB34" s="104"/>
      <c r="AC34" s="105"/>
    </row>
    <row r="35" spans="1:29" ht="50">
      <c r="A35" s="106" t="s">
        <v>52</v>
      </c>
      <c r="B35" s="31">
        <v>5</v>
      </c>
      <c r="C35" s="32">
        <v>5</v>
      </c>
      <c r="D35" s="33">
        <v>0</v>
      </c>
      <c r="E35" s="34">
        <v>0</v>
      </c>
      <c r="F35" s="33">
        <v>5</v>
      </c>
      <c r="G35" s="34">
        <v>5</v>
      </c>
      <c r="H35" s="33">
        <v>5</v>
      </c>
      <c r="I35" s="34">
        <v>5</v>
      </c>
      <c r="J35" s="33">
        <v>5</v>
      </c>
      <c r="K35" s="34">
        <v>5</v>
      </c>
      <c r="L35" s="33">
        <v>5</v>
      </c>
      <c r="M35" s="34">
        <v>5</v>
      </c>
      <c r="N35" s="33">
        <v>5</v>
      </c>
      <c r="O35" s="34">
        <v>5</v>
      </c>
      <c r="P35" s="33">
        <v>5</v>
      </c>
      <c r="Q35" s="34">
        <v>5</v>
      </c>
      <c r="R35" s="35">
        <v>0</v>
      </c>
      <c r="S35" s="34">
        <v>0</v>
      </c>
      <c r="T35" s="98"/>
      <c r="U35" s="99"/>
      <c r="V35" s="100"/>
      <c r="W35" s="101"/>
      <c r="X35" s="33">
        <v>5</v>
      </c>
      <c r="Y35" s="34"/>
      <c r="Z35" s="102"/>
      <c r="AA35" s="103"/>
      <c r="AB35" s="104"/>
      <c r="AC35" s="105"/>
    </row>
    <row r="36" spans="1:29" ht="75">
      <c r="A36" s="1" t="s">
        <v>47</v>
      </c>
      <c r="B36" s="31">
        <v>5</v>
      </c>
      <c r="C36" s="32">
        <v>5</v>
      </c>
      <c r="D36" s="33">
        <v>0</v>
      </c>
      <c r="E36" s="34">
        <v>0</v>
      </c>
      <c r="F36" s="33">
        <v>5</v>
      </c>
      <c r="G36" s="34">
        <v>5</v>
      </c>
      <c r="H36" s="33">
        <v>5</v>
      </c>
      <c r="I36" s="34">
        <v>5</v>
      </c>
      <c r="J36" s="33">
        <v>5</v>
      </c>
      <c r="K36" s="34">
        <v>5</v>
      </c>
      <c r="L36" s="33" t="s">
        <v>48</v>
      </c>
      <c r="M36" s="34">
        <v>0</v>
      </c>
      <c r="N36" s="33">
        <v>5</v>
      </c>
      <c r="O36" s="34">
        <v>5</v>
      </c>
      <c r="P36" s="33">
        <v>5</v>
      </c>
      <c r="Q36" s="34">
        <v>5</v>
      </c>
      <c r="R36" s="35">
        <v>0</v>
      </c>
      <c r="S36" s="34">
        <v>0</v>
      </c>
      <c r="T36" s="102"/>
      <c r="U36" s="107"/>
      <c r="V36" s="65">
        <v>5</v>
      </c>
      <c r="W36" s="108">
        <v>5</v>
      </c>
      <c r="X36" s="109"/>
      <c r="Y36" s="103"/>
      <c r="Z36" s="102"/>
      <c r="AA36" s="103"/>
      <c r="AB36" s="110"/>
      <c r="AC36" s="111"/>
    </row>
    <row r="37" spans="1:29" ht="25">
      <c r="A37" s="40" t="s">
        <v>32</v>
      </c>
      <c r="B37" s="41">
        <f t="shared" ref="B37:S37" si="4">AVERAGE(B34:B36)</f>
        <v>4.876666666666666</v>
      </c>
      <c r="C37" s="41">
        <f t="shared" si="4"/>
        <v>4.8500000000000005</v>
      </c>
      <c r="D37" s="41">
        <f t="shared" si="4"/>
        <v>0</v>
      </c>
      <c r="E37" s="41">
        <f t="shared" si="4"/>
        <v>0</v>
      </c>
      <c r="F37" s="41">
        <f t="shared" si="4"/>
        <v>5</v>
      </c>
      <c r="G37" s="41">
        <f t="shared" si="4"/>
        <v>4.0266666666666664</v>
      </c>
      <c r="H37" s="41">
        <f t="shared" si="4"/>
        <v>3.3333333333333335</v>
      </c>
      <c r="I37" s="41">
        <f t="shared" si="4"/>
        <v>5</v>
      </c>
      <c r="J37" s="41">
        <f t="shared" si="4"/>
        <v>5</v>
      </c>
      <c r="K37" s="41">
        <f t="shared" si="4"/>
        <v>5</v>
      </c>
      <c r="L37" s="41">
        <f t="shared" si="4"/>
        <v>5</v>
      </c>
      <c r="M37" s="41">
        <f t="shared" si="4"/>
        <v>3.2300000000000004</v>
      </c>
      <c r="N37" s="41">
        <f t="shared" si="4"/>
        <v>3.3333333333333335</v>
      </c>
      <c r="O37" s="41">
        <f t="shared" si="4"/>
        <v>5</v>
      </c>
      <c r="P37" s="41">
        <f t="shared" si="4"/>
        <v>3.3333333333333335</v>
      </c>
      <c r="Q37" s="41">
        <f t="shared" si="4"/>
        <v>3.3333333333333335</v>
      </c>
      <c r="R37" s="41">
        <f t="shared" si="4"/>
        <v>0</v>
      </c>
      <c r="S37" s="41">
        <f t="shared" si="4"/>
        <v>0</v>
      </c>
      <c r="T37" s="112"/>
      <c r="U37" s="113"/>
      <c r="V37" s="112"/>
      <c r="W37" s="114"/>
      <c r="X37" s="115"/>
      <c r="Y37" s="116"/>
      <c r="Z37" s="112"/>
      <c r="AA37" s="116"/>
      <c r="AB37" s="117"/>
      <c r="AC37" s="118"/>
    </row>
    <row r="38" spans="1:29">
      <c r="A38" s="136" t="s">
        <v>21</v>
      </c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29"/>
    </row>
    <row r="39" spans="1:29" ht="50">
      <c r="A39" s="1" t="s">
        <v>22</v>
      </c>
      <c r="B39" s="31">
        <v>4.01</v>
      </c>
      <c r="C39" s="32">
        <v>4.09</v>
      </c>
      <c r="D39" s="33">
        <v>4.12</v>
      </c>
      <c r="E39" s="34">
        <v>4.28</v>
      </c>
      <c r="F39" s="33">
        <v>4.7300000000000004</v>
      </c>
      <c r="G39" s="34">
        <v>4.59</v>
      </c>
      <c r="H39" s="33">
        <v>3.58</v>
      </c>
      <c r="I39" s="34">
        <v>4.5599999999999996</v>
      </c>
      <c r="J39" s="33">
        <v>3.74</v>
      </c>
      <c r="K39" s="34">
        <v>3.91</v>
      </c>
      <c r="L39" s="33">
        <v>4.26</v>
      </c>
      <c r="M39" s="34">
        <v>4.5999999999999996</v>
      </c>
      <c r="N39" s="33">
        <v>4.5199999999999996</v>
      </c>
      <c r="O39" s="34">
        <v>4.2</v>
      </c>
      <c r="P39" s="33">
        <v>3.92</v>
      </c>
      <c r="Q39" s="34">
        <v>4.2</v>
      </c>
      <c r="R39" s="35">
        <v>4.74</v>
      </c>
      <c r="S39" s="34">
        <v>4.0999999999999996</v>
      </c>
      <c r="T39" s="35">
        <v>3.96</v>
      </c>
      <c r="U39" s="36">
        <v>4.4400000000000004</v>
      </c>
      <c r="V39" s="35">
        <v>4.29</v>
      </c>
      <c r="W39" s="37">
        <v>4.38</v>
      </c>
      <c r="X39" s="33">
        <v>4.38</v>
      </c>
      <c r="Y39" s="34">
        <v>4.37</v>
      </c>
      <c r="Z39" s="35">
        <v>3.18</v>
      </c>
      <c r="AA39" s="34">
        <v>3.26</v>
      </c>
      <c r="AB39" s="38">
        <v>4.4000000000000004</v>
      </c>
      <c r="AC39" s="39">
        <v>4.32</v>
      </c>
    </row>
    <row r="40" spans="1:29" ht="25">
      <c r="A40" s="119" t="s">
        <v>33</v>
      </c>
      <c r="B40" s="120">
        <f t="shared" ref="B40:AC40" si="5">AVERAGE(B39)</f>
        <v>4.01</v>
      </c>
      <c r="C40" s="120">
        <f t="shared" si="5"/>
        <v>4.09</v>
      </c>
      <c r="D40" s="120">
        <f t="shared" si="5"/>
        <v>4.12</v>
      </c>
      <c r="E40" s="120">
        <f t="shared" si="5"/>
        <v>4.28</v>
      </c>
      <c r="F40" s="120">
        <f t="shared" si="5"/>
        <v>4.7300000000000004</v>
      </c>
      <c r="G40" s="120">
        <f t="shared" si="5"/>
        <v>4.59</v>
      </c>
      <c r="H40" s="120">
        <f t="shared" si="5"/>
        <v>3.58</v>
      </c>
      <c r="I40" s="120">
        <f t="shared" si="5"/>
        <v>4.5599999999999996</v>
      </c>
      <c r="J40" s="120">
        <f t="shared" si="5"/>
        <v>3.74</v>
      </c>
      <c r="K40" s="120">
        <f t="shared" si="5"/>
        <v>3.91</v>
      </c>
      <c r="L40" s="120">
        <f t="shared" si="5"/>
        <v>4.26</v>
      </c>
      <c r="M40" s="120">
        <f t="shared" si="5"/>
        <v>4.5999999999999996</v>
      </c>
      <c r="N40" s="120">
        <f t="shared" si="5"/>
        <v>4.5199999999999996</v>
      </c>
      <c r="O40" s="120">
        <f t="shared" si="5"/>
        <v>4.2</v>
      </c>
      <c r="P40" s="120">
        <f t="shared" si="5"/>
        <v>3.92</v>
      </c>
      <c r="Q40" s="120">
        <f t="shared" si="5"/>
        <v>4.2</v>
      </c>
      <c r="R40" s="120">
        <f t="shared" si="5"/>
        <v>4.74</v>
      </c>
      <c r="S40" s="120">
        <f t="shared" si="5"/>
        <v>4.0999999999999996</v>
      </c>
      <c r="T40" s="120">
        <f t="shared" si="5"/>
        <v>3.96</v>
      </c>
      <c r="U40" s="120">
        <f t="shared" si="5"/>
        <v>4.4400000000000004</v>
      </c>
      <c r="V40" s="120">
        <f t="shared" si="5"/>
        <v>4.29</v>
      </c>
      <c r="W40" s="120">
        <f t="shared" si="5"/>
        <v>4.38</v>
      </c>
      <c r="X40" s="120">
        <f t="shared" si="5"/>
        <v>4.38</v>
      </c>
      <c r="Y40" s="120">
        <f t="shared" si="5"/>
        <v>4.37</v>
      </c>
      <c r="Z40" s="120">
        <f t="shared" si="5"/>
        <v>3.18</v>
      </c>
      <c r="AA40" s="120">
        <f t="shared" si="5"/>
        <v>3.26</v>
      </c>
      <c r="AB40" s="120">
        <f t="shared" si="5"/>
        <v>4.4000000000000004</v>
      </c>
      <c r="AC40" s="121">
        <f t="shared" si="5"/>
        <v>4.32</v>
      </c>
    </row>
    <row r="41" spans="1:29">
      <c r="A41" s="136" t="s">
        <v>23</v>
      </c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29"/>
    </row>
    <row r="42" spans="1:29" ht="50">
      <c r="A42" s="1" t="s">
        <v>24</v>
      </c>
      <c r="B42" s="31">
        <v>4.18</v>
      </c>
      <c r="C42" s="32">
        <v>4.1900000000000004</v>
      </c>
      <c r="D42" s="33">
        <v>4.21</v>
      </c>
      <c r="E42" s="34">
        <v>4.22</v>
      </c>
      <c r="F42" s="33">
        <v>4.3</v>
      </c>
      <c r="G42" s="34">
        <v>4.0999999999999996</v>
      </c>
      <c r="H42" s="33">
        <v>4.17</v>
      </c>
      <c r="I42" s="34">
        <v>4.24</v>
      </c>
      <c r="J42" s="33">
        <v>4.13</v>
      </c>
      <c r="K42" s="34">
        <v>4.1399999999999997</v>
      </c>
      <c r="L42" s="33">
        <v>4.28</v>
      </c>
      <c r="M42" s="34">
        <v>4.1500000000000004</v>
      </c>
      <c r="N42" s="33">
        <v>4.0999999999999996</v>
      </c>
      <c r="O42" s="34">
        <v>4.3600000000000003</v>
      </c>
      <c r="P42" s="33">
        <v>4.03</v>
      </c>
      <c r="Q42" s="34">
        <v>4.08</v>
      </c>
      <c r="R42" s="35">
        <v>4.62</v>
      </c>
      <c r="S42" s="34">
        <v>4.3899999999999997</v>
      </c>
      <c r="T42" s="66"/>
      <c r="U42" s="67"/>
      <c r="V42" s="66"/>
      <c r="W42" s="68"/>
      <c r="X42" s="69"/>
      <c r="Y42" s="70"/>
      <c r="Z42" s="66"/>
      <c r="AA42" s="70"/>
      <c r="AB42" s="71"/>
      <c r="AC42" s="72"/>
    </row>
    <row r="43" spans="1:29" ht="50">
      <c r="A43" s="1" t="s">
        <v>25</v>
      </c>
      <c r="B43" s="31">
        <v>4.6500000000000004</v>
      </c>
      <c r="C43" s="32">
        <v>4.6100000000000003</v>
      </c>
      <c r="D43" s="33">
        <v>4.63</v>
      </c>
      <c r="E43" s="34">
        <v>4.5199999999999996</v>
      </c>
      <c r="F43" s="33">
        <v>4.7699999999999996</v>
      </c>
      <c r="G43" s="34">
        <v>4.5199999999999996</v>
      </c>
      <c r="H43" s="33">
        <v>4.71</v>
      </c>
      <c r="I43" s="34">
        <v>4.5</v>
      </c>
      <c r="J43" s="33">
        <v>4.7</v>
      </c>
      <c r="K43" s="34">
        <v>4.5999999999999996</v>
      </c>
      <c r="L43" s="109"/>
      <c r="M43" s="103"/>
      <c r="N43" s="109"/>
      <c r="O43" s="103"/>
      <c r="P43" s="33">
        <v>4.62</v>
      </c>
      <c r="Q43" s="34">
        <v>4.6500000000000004</v>
      </c>
      <c r="R43" s="98"/>
      <c r="S43" s="122"/>
      <c r="T43" s="66"/>
      <c r="U43" s="67"/>
      <c r="V43" s="66"/>
      <c r="W43" s="68"/>
      <c r="X43" s="69"/>
      <c r="Y43" s="70"/>
      <c r="Z43" s="66"/>
      <c r="AA43" s="70"/>
      <c r="AB43" s="71"/>
      <c r="AC43" s="72"/>
    </row>
    <row r="44" spans="1:29" ht="25">
      <c r="A44" s="119" t="s">
        <v>34</v>
      </c>
      <c r="B44" s="120">
        <f t="shared" ref="B44:S44" si="6">AVERAGE(B42:B43)</f>
        <v>4.415</v>
      </c>
      <c r="C44" s="120">
        <f t="shared" si="6"/>
        <v>4.4000000000000004</v>
      </c>
      <c r="D44" s="120">
        <f t="shared" si="6"/>
        <v>4.42</v>
      </c>
      <c r="E44" s="120">
        <f t="shared" si="6"/>
        <v>4.3699999999999992</v>
      </c>
      <c r="F44" s="120">
        <f t="shared" si="6"/>
        <v>4.5350000000000001</v>
      </c>
      <c r="G44" s="120">
        <f t="shared" si="6"/>
        <v>4.3099999999999996</v>
      </c>
      <c r="H44" s="120">
        <f t="shared" si="6"/>
        <v>4.4399999999999995</v>
      </c>
      <c r="I44" s="120">
        <f t="shared" si="6"/>
        <v>4.37</v>
      </c>
      <c r="J44" s="120">
        <f t="shared" si="6"/>
        <v>4.415</v>
      </c>
      <c r="K44" s="120">
        <f t="shared" si="6"/>
        <v>4.3699999999999992</v>
      </c>
      <c r="L44" s="115">
        <f t="shared" si="6"/>
        <v>4.28</v>
      </c>
      <c r="M44" s="115">
        <f t="shared" si="6"/>
        <v>4.1500000000000004</v>
      </c>
      <c r="N44" s="115">
        <f t="shared" si="6"/>
        <v>4.0999999999999996</v>
      </c>
      <c r="O44" s="115">
        <f t="shared" si="6"/>
        <v>4.3600000000000003</v>
      </c>
      <c r="P44" s="115">
        <f t="shared" si="6"/>
        <v>4.3250000000000002</v>
      </c>
      <c r="Q44" s="115">
        <f t="shared" si="6"/>
        <v>4.3650000000000002</v>
      </c>
      <c r="R44" s="115">
        <f t="shared" si="6"/>
        <v>4.62</v>
      </c>
      <c r="S44" s="115">
        <f t="shared" si="6"/>
        <v>4.3899999999999997</v>
      </c>
      <c r="T44" s="66"/>
      <c r="U44" s="67"/>
      <c r="V44" s="66"/>
      <c r="W44" s="68"/>
      <c r="X44" s="69"/>
      <c r="Y44" s="70"/>
      <c r="Z44" s="66"/>
      <c r="AA44" s="70"/>
      <c r="AB44" s="71"/>
      <c r="AC44" s="72"/>
    </row>
    <row r="45" spans="1:29">
      <c r="A45" s="136" t="s">
        <v>35</v>
      </c>
      <c r="B45" s="137"/>
      <c r="C45" s="143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7"/>
      <c r="AC45" s="29"/>
    </row>
    <row r="46" spans="1:29" ht="50">
      <c r="A46" s="1" t="s">
        <v>36</v>
      </c>
      <c r="B46" s="3">
        <v>5</v>
      </c>
      <c r="C46" s="4">
        <v>2.06</v>
      </c>
      <c r="D46" s="123"/>
      <c r="E46" s="70"/>
      <c r="F46" s="69"/>
      <c r="G46" s="70"/>
      <c r="H46" s="69"/>
      <c r="I46" s="70"/>
      <c r="J46" s="69"/>
      <c r="K46" s="70"/>
      <c r="L46" s="69"/>
      <c r="M46" s="70"/>
      <c r="N46" s="69"/>
      <c r="O46" s="70"/>
      <c r="P46" s="69"/>
      <c r="Q46" s="70"/>
      <c r="R46" s="66"/>
      <c r="S46" s="70"/>
      <c r="T46" s="66"/>
      <c r="U46" s="67"/>
      <c r="V46" s="66"/>
      <c r="W46" s="68"/>
      <c r="X46" s="69"/>
      <c r="Y46" s="70"/>
      <c r="Z46" s="66"/>
      <c r="AA46" s="70"/>
      <c r="AB46" s="71"/>
      <c r="AC46" s="72"/>
    </row>
    <row r="47" spans="1:29" ht="25">
      <c r="A47" s="1" t="s">
        <v>37</v>
      </c>
      <c r="B47" s="3">
        <v>0.12</v>
      </c>
      <c r="C47" s="4">
        <v>0.12</v>
      </c>
      <c r="D47" s="123"/>
      <c r="E47" s="70"/>
      <c r="F47" s="69"/>
      <c r="G47" s="70"/>
      <c r="H47" s="69"/>
      <c r="I47" s="70"/>
      <c r="J47" s="69"/>
      <c r="K47" s="70"/>
      <c r="L47" s="69"/>
      <c r="M47" s="70"/>
      <c r="N47" s="69"/>
      <c r="O47" s="70"/>
      <c r="P47" s="69"/>
      <c r="Q47" s="70"/>
      <c r="R47" s="66"/>
      <c r="S47" s="70"/>
      <c r="T47" s="66"/>
      <c r="U47" s="67"/>
      <c r="V47" s="66"/>
      <c r="W47" s="68"/>
      <c r="X47" s="69"/>
      <c r="Y47" s="70"/>
      <c r="Z47" s="66"/>
      <c r="AA47" s="70"/>
      <c r="AB47" s="71"/>
      <c r="AC47" s="72"/>
    </row>
    <row r="48" spans="1:29" ht="75">
      <c r="A48" s="1" t="s">
        <v>38</v>
      </c>
      <c r="B48" s="3">
        <v>1.44</v>
      </c>
      <c r="C48" s="4">
        <v>1.28</v>
      </c>
      <c r="D48" s="123"/>
      <c r="E48" s="70"/>
      <c r="F48" s="69"/>
      <c r="G48" s="70"/>
      <c r="H48" s="69"/>
      <c r="I48" s="70"/>
      <c r="J48" s="69"/>
      <c r="K48" s="70"/>
      <c r="L48" s="69"/>
      <c r="M48" s="70"/>
      <c r="N48" s="69"/>
      <c r="O48" s="70"/>
      <c r="P48" s="69"/>
      <c r="Q48" s="70"/>
      <c r="R48" s="66"/>
      <c r="S48" s="70"/>
      <c r="T48" s="66"/>
      <c r="U48" s="67"/>
      <c r="V48" s="66"/>
      <c r="W48" s="68"/>
      <c r="X48" s="69"/>
      <c r="Y48" s="70"/>
      <c r="Z48" s="66"/>
      <c r="AA48" s="70"/>
      <c r="AB48" s="71"/>
      <c r="AC48" s="72"/>
    </row>
    <row r="49" spans="1:29" ht="75">
      <c r="A49" s="1" t="s">
        <v>39</v>
      </c>
      <c r="B49" s="3">
        <v>5</v>
      </c>
      <c r="C49" s="4">
        <v>1.1599999999999999</v>
      </c>
      <c r="D49" s="123"/>
      <c r="E49" s="70"/>
      <c r="F49" s="69"/>
      <c r="G49" s="70"/>
      <c r="H49" s="69"/>
      <c r="I49" s="70"/>
      <c r="J49" s="69"/>
      <c r="K49" s="70"/>
      <c r="L49" s="69"/>
      <c r="M49" s="70"/>
      <c r="N49" s="69"/>
      <c r="O49" s="70"/>
      <c r="P49" s="69"/>
      <c r="Q49" s="70"/>
      <c r="R49" s="66"/>
      <c r="S49" s="70"/>
      <c r="T49" s="66"/>
      <c r="U49" s="67"/>
      <c r="V49" s="66"/>
      <c r="W49" s="68"/>
      <c r="X49" s="69"/>
      <c r="Y49" s="70"/>
      <c r="Z49" s="66"/>
      <c r="AA49" s="70"/>
      <c r="AB49" s="71"/>
      <c r="AC49" s="72"/>
    </row>
    <row r="50" spans="1:29" ht="100">
      <c r="A50" s="1" t="s">
        <v>40</v>
      </c>
      <c r="B50" s="3">
        <v>5</v>
      </c>
      <c r="C50" s="4">
        <v>5</v>
      </c>
      <c r="D50" s="123"/>
      <c r="E50" s="70"/>
      <c r="F50" s="69"/>
      <c r="G50" s="70"/>
      <c r="H50" s="69"/>
      <c r="I50" s="70"/>
      <c r="J50" s="69"/>
      <c r="K50" s="70"/>
      <c r="L50" s="69"/>
      <c r="M50" s="70"/>
      <c r="N50" s="69"/>
      <c r="O50" s="70"/>
      <c r="P50" s="69"/>
      <c r="Q50" s="70"/>
      <c r="R50" s="66"/>
      <c r="S50" s="70"/>
      <c r="T50" s="66"/>
      <c r="U50" s="67"/>
      <c r="V50" s="66"/>
      <c r="W50" s="68"/>
      <c r="X50" s="69"/>
      <c r="Y50" s="70"/>
      <c r="Z50" s="66"/>
      <c r="AA50" s="70"/>
      <c r="AB50" s="71"/>
      <c r="AC50" s="72"/>
    </row>
    <row r="51" spans="1:29" ht="75">
      <c r="A51" s="1" t="s">
        <v>41</v>
      </c>
      <c r="B51" s="3">
        <v>5</v>
      </c>
      <c r="C51" s="4">
        <v>5</v>
      </c>
      <c r="D51" s="123"/>
      <c r="E51" s="70"/>
      <c r="F51" s="69"/>
      <c r="G51" s="70"/>
      <c r="H51" s="69"/>
      <c r="I51" s="70"/>
      <c r="J51" s="69"/>
      <c r="K51" s="70"/>
      <c r="L51" s="69"/>
      <c r="M51" s="70"/>
      <c r="N51" s="69"/>
      <c r="O51" s="70"/>
      <c r="P51" s="69"/>
      <c r="Q51" s="70"/>
      <c r="R51" s="66"/>
      <c r="S51" s="70"/>
      <c r="T51" s="66"/>
      <c r="U51" s="67"/>
      <c r="V51" s="66"/>
      <c r="W51" s="68"/>
      <c r="X51" s="69"/>
      <c r="Y51" s="70"/>
      <c r="Z51" s="66"/>
      <c r="AA51" s="70"/>
      <c r="AB51" s="71"/>
      <c r="AC51" s="72"/>
    </row>
    <row r="52" spans="1:29" ht="75">
      <c r="A52" s="1" t="s">
        <v>42</v>
      </c>
      <c r="B52" s="3">
        <v>1.6</v>
      </c>
      <c r="C52" s="4">
        <v>5</v>
      </c>
      <c r="D52" s="123"/>
      <c r="E52" s="70"/>
      <c r="F52" s="69"/>
      <c r="G52" s="70"/>
      <c r="H52" s="69"/>
      <c r="I52" s="70"/>
      <c r="J52" s="69"/>
      <c r="K52" s="70"/>
      <c r="L52" s="69"/>
      <c r="M52" s="70"/>
      <c r="N52" s="69"/>
      <c r="O52" s="70"/>
      <c r="P52" s="69"/>
      <c r="Q52" s="70"/>
      <c r="R52" s="66"/>
      <c r="S52" s="70"/>
      <c r="T52" s="66"/>
      <c r="U52" s="67"/>
      <c r="V52" s="66"/>
      <c r="W52" s="68"/>
      <c r="X52" s="69"/>
      <c r="Y52" s="70"/>
      <c r="Z52" s="66"/>
      <c r="AA52" s="70"/>
      <c r="AB52" s="71"/>
      <c r="AC52" s="72"/>
    </row>
    <row r="53" spans="1:29" ht="75">
      <c r="A53" s="1" t="s">
        <v>43</v>
      </c>
      <c r="B53" s="5">
        <v>5</v>
      </c>
      <c r="C53" s="6">
        <v>3.13</v>
      </c>
      <c r="D53" s="123"/>
      <c r="E53" s="70"/>
      <c r="F53" s="69"/>
      <c r="G53" s="70"/>
      <c r="H53" s="69"/>
      <c r="I53" s="70"/>
      <c r="J53" s="69"/>
      <c r="K53" s="70"/>
      <c r="L53" s="69"/>
      <c r="M53" s="70"/>
      <c r="N53" s="69"/>
      <c r="O53" s="70"/>
      <c r="P53" s="69"/>
      <c r="Q53" s="70"/>
      <c r="R53" s="66"/>
      <c r="S53" s="70"/>
      <c r="T53" s="66"/>
      <c r="U53" s="67"/>
      <c r="V53" s="66"/>
      <c r="W53" s="68"/>
      <c r="X53" s="69"/>
      <c r="Y53" s="70"/>
      <c r="Z53" s="66"/>
      <c r="AA53" s="70"/>
      <c r="AB53" s="71"/>
      <c r="AC53" s="72"/>
    </row>
    <row r="54" spans="1:29" ht="25">
      <c r="A54" s="2" t="s">
        <v>54</v>
      </c>
      <c r="B54" s="5">
        <v>5</v>
      </c>
      <c r="C54" s="6"/>
      <c r="D54" s="123"/>
      <c r="E54" s="70"/>
      <c r="F54" s="69"/>
      <c r="G54" s="70"/>
      <c r="H54" s="69"/>
      <c r="I54" s="70"/>
      <c r="J54" s="69"/>
      <c r="K54" s="70"/>
      <c r="L54" s="69"/>
      <c r="M54" s="70"/>
      <c r="N54" s="69"/>
      <c r="O54" s="70"/>
      <c r="P54" s="69"/>
      <c r="Q54" s="70"/>
      <c r="R54" s="66"/>
      <c r="S54" s="70"/>
      <c r="T54" s="66"/>
      <c r="U54" s="67"/>
      <c r="V54" s="66"/>
      <c r="W54" s="68"/>
      <c r="X54" s="69"/>
      <c r="Y54" s="70"/>
      <c r="Z54" s="66"/>
      <c r="AA54" s="70"/>
      <c r="AB54" s="71"/>
      <c r="AC54" s="72"/>
    </row>
    <row r="55" spans="1:29" ht="25">
      <c r="A55" s="124" t="s">
        <v>44</v>
      </c>
      <c r="B55" s="7">
        <f>AVERAGE(B46:B54)</f>
        <v>3.6844444444444449</v>
      </c>
      <c r="C55" s="8">
        <f>AVERAGE(C46:C54)</f>
        <v>2.84375</v>
      </c>
      <c r="D55" s="125"/>
      <c r="E55" s="126"/>
      <c r="F55" s="125"/>
      <c r="G55" s="126"/>
      <c r="H55" s="125"/>
      <c r="I55" s="126"/>
      <c r="J55" s="125"/>
      <c r="K55" s="126"/>
      <c r="L55" s="125"/>
      <c r="M55" s="126"/>
      <c r="N55" s="125"/>
      <c r="O55" s="126"/>
      <c r="P55" s="125"/>
      <c r="Q55" s="126"/>
      <c r="R55" s="127"/>
      <c r="S55" s="126"/>
      <c r="T55" s="127"/>
      <c r="U55" s="128"/>
      <c r="V55" s="127"/>
      <c r="W55" s="129"/>
      <c r="X55" s="125"/>
      <c r="Y55" s="126"/>
      <c r="Z55" s="127"/>
      <c r="AA55" s="126"/>
      <c r="AB55" s="130"/>
      <c r="AC55" s="131"/>
    </row>
    <row r="56" spans="1:29" ht="25">
      <c r="A56" s="124" t="s">
        <v>45</v>
      </c>
      <c r="B56" s="132">
        <f>AVERAGE(B6:B7,B10:B13,B17:B19,B21:B25,B28:B30,B28:B31,B34:B36,B39,B42:B43,B46:B54)</f>
        <v>4.2069696969696961</v>
      </c>
      <c r="C56" s="132">
        <f t="shared" ref="C56:AC56" si="7">AVERAGE(C6:C7,C10:C13,C17:C19,C21:C25,C28:C30,C28:C31,C34:C36,C39,C42:C43,C46:C54)</f>
        <v>3.9785714285714286</v>
      </c>
      <c r="D56" s="132">
        <f t="shared" si="7"/>
        <v>3.6566666666666663</v>
      </c>
      <c r="E56" s="132">
        <f t="shared" si="7"/>
        <v>3.8059259259259255</v>
      </c>
      <c r="F56" s="132">
        <f t="shared" si="7"/>
        <v>4.5004166666666663</v>
      </c>
      <c r="G56" s="132">
        <f t="shared" si="7"/>
        <v>4.0162962962962965</v>
      </c>
      <c r="H56" s="132">
        <f t="shared" si="7"/>
        <v>4.0674999999999999</v>
      </c>
      <c r="I56" s="132">
        <f t="shared" si="7"/>
        <v>4.3251851851851848</v>
      </c>
      <c r="J56" s="132">
        <f t="shared" si="7"/>
        <v>4.3711999999999991</v>
      </c>
      <c r="K56" s="132">
        <f t="shared" si="7"/>
        <v>4.2685185185185182</v>
      </c>
      <c r="L56" s="132">
        <f t="shared" si="7"/>
        <v>4.4417391304347831</v>
      </c>
      <c r="M56" s="132">
        <f t="shared" si="7"/>
        <v>4.3650000000000002</v>
      </c>
      <c r="N56" s="132">
        <f t="shared" si="7"/>
        <v>4.0654166666666667</v>
      </c>
      <c r="O56" s="132">
        <f t="shared" si="7"/>
        <v>4.3826923076923086</v>
      </c>
      <c r="P56" s="132">
        <f t="shared" si="7"/>
        <v>4.1804166666666669</v>
      </c>
      <c r="Q56" s="132">
        <f t="shared" si="7"/>
        <v>4.2122222222222225</v>
      </c>
      <c r="R56" s="132">
        <f t="shared" si="7"/>
        <v>3.5939130434782611</v>
      </c>
      <c r="S56" s="132">
        <f t="shared" si="7"/>
        <v>3.4461538461538455</v>
      </c>
      <c r="T56" s="132">
        <f t="shared" si="7"/>
        <v>3.4916666666666671</v>
      </c>
      <c r="U56" s="132">
        <f t="shared" si="7"/>
        <v>4.085</v>
      </c>
      <c r="V56" s="132">
        <f t="shared" si="7"/>
        <v>4.4971428571428564</v>
      </c>
      <c r="W56" s="132">
        <f t="shared" si="7"/>
        <v>4.8342857142857145</v>
      </c>
      <c r="X56" s="132">
        <f t="shared" si="7"/>
        <v>4.7142857142857144</v>
      </c>
      <c r="Y56" s="132">
        <f t="shared" si="7"/>
        <v>4.2333333333333334</v>
      </c>
      <c r="Z56" s="132">
        <f t="shared" si="7"/>
        <v>4.1333333333333337</v>
      </c>
      <c r="AA56" s="132">
        <f t="shared" si="7"/>
        <v>4.0183333333333335</v>
      </c>
      <c r="AB56" s="132">
        <f t="shared" si="7"/>
        <v>3.3916666666666671</v>
      </c>
      <c r="AC56" s="133">
        <f t="shared" si="7"/>
        <v>4.1416666666666666</v>
      </c>
    </row>
    <row r="57" spans="1:29" ht="14.25" customHeight="1"/>
    <row r="58" spans="1:29" ht="14.25" customHeight="1"/>
    <row r="59" spans="1:29" ht="14.25" customHeight="1"/>
    <row r="60" spans="1:29" ht="14.25" customHeight="1"/>
    <row r="61" spans="1:29" ht="14.25" customHeight="1"/>
    <row r="62" spans="1:29" ht="14.25" customHeight="1"/>
    <row r="63" spans="1:29" ht="14.25" customHeight="1"/>
    <row r="64" spans="1:29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</sheetData>
  <mergeCells count="12">
    <mergeCell ref="A45:AB45"/>
    <mergeCell ref="A16:AB16"/>
    <mergeCell ref="A20:AB20"/>
    <mergeCell ref="A27:AB27"/>
    <mergeCell ref="A33:AB33"/>
    <mergeCell ref="A38:AB38"/>
    <mergeCell ref="A41:AB41"/>
    <mergeCell ref="A15:AB15"/>
    <mergeCell ref="A2:A4"/>
    <mergeCell ref="A5:AB5"/>
    <mergeCell ref="A9:AB9"/>
    <mergeCell ref="B2:A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เปรียบเทียบ67_68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WACHIRA LIMCEPRAPAN</cp:lastModifiedBy>
  <cp:lastPrinted>2026-05-18T09:02:30Z</cp:lastPrinted>
  <dcterms:created xsi:type="dcterms:W3CDTF">2023-09-11T00:51:39Z</dcterms:created>
  <dcterms:modified xsi:type="dcterms:W3CDTF">2026-05-18T14:41:25Z</dcterms:modified>
</cp:coreProperties>
</file>